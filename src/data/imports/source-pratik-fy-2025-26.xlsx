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aftechnologies-my.sharepoint.com/personal/ujaccounts_getsetlearn_info/Documents/MTPL/Vendor_agreement/MOU/Sales - MOU/FY25-26/"/>
    </mc:Choice>
  </mc:AlternateContent>
  <xr:revisionPtr revIDLastSave="289" documentId="8_{8F6572D2-D359-479F-BF33-FD3693790030}" xr6:coauthVersionLast="47" xr6:coauthVersionMax="47" xr10:uidLastSave="{A300F5C7-68CD-4FF3-A331-EFB77E1A06B2}"/>
  <bookViews>
    <workbookView xWindow="-120" yWindow="-120" windowWidth="20730" windowHeight="11040" xr2:uid="{00000000-000D-0000-FFFF-FFFF00000000}"/>
  </bookViews>
  <sheets>
    <sheet name="2025-2026" sheetId="2" r:id="rId1"/>
    <sheet name="Sheet4" sheetId="9" state="hidden" r:id="rId2"/>
    <sheet name="Billing details _PD" sheetId="3" state="hidden" r:id="rId3"/>
    <sheet name="2025-26_Proforma Invoice_PD" sheetId="5" state="hidden" r:id="rId4"/>
    <sheet name="Sheet2" sheetId="7" state="hidden" r:id="rId5"/>
    <sheet name="Sheet1" sheetId="6" state="hidden" r:id="rId6"/>
    <sheet name="2026-27-PD " sheetId="4" state="hidden" r:id="rId7"/>
  </sheets>
  <definedNames>
    <definedName name="_xlnm._FilterDatabase" localSheetId="0" hidden="1">'2025-2026'!$A$4:$AN$73</definedName>
    <definedName name="_xlnm._FilterDatabase" localSheetId="2" hidden="1">'Billing details _PD'!$A$4:$L$22</definedName>
    <definedName name="_xlnm._FilterDatabase" localSheetId="1" hidden="1">Sheet4!$A$4:$AR$28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74" i="2" l="1"/>
  <c r="T74" i="2"/>
  <c r="AO31" i="2"/>
  <c r="S31" i="2"/>
  <c r="L74" i="2"/>
  <c r="K74" i="2"/>
  <c r="AQ31" i="9" l="1"/>
  <c r="AR30" i="9"/>
  <c r="AR31" i="9" s="1"/>
  <c r="AP30" i="9"/>
  <c r="AP31" i="9" s="1"/>
  <c r="AO30" i="9"/>
  <c r="AO31" i="9" s="1"/>
  <c r="AP52" i="2"/>
  <c r="AP53" i="2"/>
  <c r="X42" i="2" l="1"/>
  <c r="A50" i="2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5" i="2" s="1"/>
  <c r="A66" i="2" s="1"/>
  <c r="A67" i="2" s="1"/>
  <c r="A68" i="2" s="1"/>
  <c r="A69" i="2" s="1"/>
  <c r="A70" i="2" s="1"/>
  <c r="A71" i="2" s="1"/>
  <c r="A72" i="2" s="1"/>
  <c r="A73" i="2" s="1"/>
  <c r="AO82" i="2"/>
  <c r="Q73" i="2"/>
  <c r="AP73" i="2" s="1"/>
  <c r="P73" i="2"/>
  <c r="V73" i="2" s="1"/>
  <c r="Q72" i="2"/>
  <c r="AP72" i="2" s="1"/>
  <c r="P72" i="2"/>
  <c r="N72" i="2"/>
  <c r="AP71" i="2"/>
  <c r="X71" i="2"/>
  <c r="P71" i="2"/>
  <c r="V71" i="2" s="1"/>
  <c r="N71" i="2"/>
  <c r="Q70" i="2"/>
  <c r="P70" i="2"/>
  <c r="N70" i="2"/>
  <c r="Q69" i="2"/>
  <c r="X69" i="2" s="1"/>
  <c r="P69" i="2"/>
  <c r="N69" i="2"/>
  <c r="Q68" i="2"/>
  <c r="AP68" i="2" s="1"/>
  <c r="P68" i="2"/>
  <c r="X68" i="2" s="1"/>
  <c r="N68" i="2"/>
  <c r="R67" i="2"/>
  <c r="Q67" i="2"/>
  <c r="P67" i="2"/>
  <c r="S67" i="2" s="1"/>
  <c r="AR67" i="2" s="1"/>
  <c r="N67" i="2"/>
  <c r="Q66" i="2"/>
  <c r="AP66" i="2" s="1"/>
  <c r="P66" i="2"/>
  <c r="AJ66" i="2" s="1"/>
  <c r="N66" i="2"/>
  <c r="AP65" i="2"/>
  <c r="X65" i="2"/>
  <c r="P65" i="2"/>
  <c r="AJ65" i="2" s="1"/>
  <c r="N65" i="2"/>
  <c r="AR64" i="2"/>
  <c r="AP64" i="2"/>
  <c r="AP63" i="2"/>
  <c r="X63" i="2"/>
  <c r="P63" i="2"/>
  <c r="S63" i="2" s="1"/>
  <c r="AR63" i="2" s="1"/>
  <c r="N63" i="2"/>
  <c r="AP62" i="2"/>
  <c r="P62" i="2"/>
  <c r="AF62" i="2" s="1"/>
  <c r="N62" i="2"/>
  <c r="AP61" i="2"/>
  <c r="P61" i="2"/>
  <c r="S61" i="2" s="1"/>
  <c r="AR61" i="2" s="1"/>
  <c r="N61" i="2"/>
  <c r="Q60" i="2"/>
  <c r="P60" i="2"/>
  <c r="AJ60" i="2" s="1"/>
  <c r="N60" i="2"/>
  <c r="Q59" i="2"/>
  <c r="X59" i="2" s="1"/>
  <c r="AP59" i="2" s="1"/>
  <c r="P59" i="2"/>
  <c r="AF59" i="2" s="1"/>
  <c r="N59" i="2"/>
  <c r="Q58" i="2"/>
  <c r="AP58" i="2" s="1"/>
  <c r="P58" i="2"/>
  <c r="AF58" i="2" s="1"/>
  <c r="N58" i="2"/>
  <c r="AP57" i="2"/>
  <c r="Q57" i="2"/>
  <c r="P57" i="2"/>
  <c r="AB57" i="2" s="1"/>
  <c r="N57" i="2"/>
  <c r="AP56" i="2"/>
  <c r="P56" i="2"/>
  <c r="S56" i="2" s="1"/>
  <c r="AR56" i="2" s="1"/>
  <c r="N56" i="2"/>
  <c r="AP55" i="2"/>
  <c r="P55" i="2"/>
  <c r="S55" i="2" s="1"/>
  <c r="AR55" i="2" s="1"/>
  <c r="N55" i="2"/>
  <c r="Q54" i="2"/>
  <c r="AP54" i="2" s="1"/>
  <c r="P54" i="2"/>
  <c r="AF54" i="2" s="1"/>
  <c r="N54" i="2"/>
  <c r="R53" i="2"/>
  <c r="Q53" i="2"/>
  <c r="P53" i="2"/>
  <c r="X53" i="2" s="1"/>
  <c r="N53" i="2"/>
  <c r="Q52" i="2"/>
  <c r="P52" i="2"/>
  <c r="AB52" i="2" s="1"/>
  <c r="N52" i="2"/>
  <c r="AP51" i="2"/>
  <c r="Q51" i="2"/>
  <c r="P51" i="2"/>
  <c r="AF51" i="2" s="1"/>
  <c r="N51" i="2"/>
  <c r="T50" i="2"/>
  <c r="AP50" i="2" s="1"/>
  <c r="P50" i="2"/>
  <c r="V50" i="2" s="1"/>
  <c r="N50" i="2"/>
  <c r="X67" i="2" l="1"/>
  <c r="AF63" i="2"/>
  <c r="AJ52" i="2"/>
  <c r="S52" i="2"/>
  <c r="AR52" i="2" s="1"/>
  <c r="V52" i="2"/>
  <c r="X58" i="2"/>
  <c r="AB58" i="2"/>
  <c r="V63" i="2"/>
  <c r="AJ62" i="2"/>
  <c r="AF52" i="2"/>
  <c r="AB63" i="2"/>
  <c r="AB55" i="2"/>
  <c r="V70" i="2"/>
  <c r="AF55" i="2"/>
  <c r="AJ57" i="2"/>
  <c r="V59" i="2"/>
  <c r="X61" i="2"/>
  <c r="AB61" i="2"/>
  <c r="AF50" i="2"/>
  <c r="AJ50" i="2"/>
  <c r="AJ59" i="2"/>
  <c r="AB65" i="2"/>
  <c r="AB67" i="2"/>
  <c r="AP69" i="2"/>
  <c r="X70" i="2"/>
  <c r="S71" i="2"/>
  <c r="AR71" i="2" s="1"/>
  <c r="X50" i="2"/>
  <c r="V53" i="2"/>
  <c r="AB53" i="2"/>
  <c r="AJ55" i="2"/>
  <c r="AF61" i="2"/>
  <c r="S65" i="2"/>
  <c r="AR65" i="2" s="1"/>
  <c r="AF65" i="2"/>
  <c r="V67" i="2"/>
  <c r="AF67" i="2"/>
  <c r="AP70" i="2"/>
  <c r="AB50" i="2"/>
  <c r="AJ51" i="2"/>
  <c r="X52" i="2"/>
  <c r="AF53" i="2"/>
  <c r="AJ54" i="2"/>
  <c r="V55" i="2"/>
  <c r="AF57" i="2"/>
  <c r="AJ58" i="2"/>
  <c r="V61" i="2"/>
  <c r="AJ61" i="2"/>
  <c r="AJ63" i="2"/>
  <c r="V65" i="2"/>
  <c r="V69" i="2"/>
  <c r="AB71" i="2"/>
  <c r="S54" i="2"/>
  <c r="AR54" i="2" s="1"/>
  <c r="V56" i="2"/>
  <c r="V60" i="2"/>
  <c r="S62" i="2"/>
  <c r="AR62" i="2" s="1"/>
  <c r="S66" i="2"/>
  <c r="AR66" i="2" s="1"/>
  <c r="AJ67" i="2"/>
  <c r="S68" i="2"/>
  <c r="AR68" i="2" s="1"/>
  <c r="V72" i="2"/>
  <c r="S73" i="2"/>
  <c r="AR73" i="2" s="1"/>
  <c r="S58" i="2"/>
  <c r="AR58" i="2" s="1"/>
  <c r="V58" i="2"/>
  <c r="S72" i="2"/>
  <c r="AR72" i="2" s="1"/>
  <c r="V54" i="2"/>
  <c r="AB56" i="2"/>
  <c r="S57" i="2"/>
  <c r="AR57" i="2" s="1"/>
  <c r="V62" i="2"/>
  <c r="V66" i="2"/>
  <c r="AP67" i="2"/>
  <c r="V68" i="2"/>
  <c r="X72" i="2"/>
  <c r="AB72" i="2" s="1"/>
  <c r="S50" i="2"/>
  <c r="AR50" i="2" s="1"/>
  <c r="X51" i="2"/>
  <c r="X54" i="2"/>
  <c r="V57" i="2"/>
  <c r="AB60" i="2"/>
  <c r="X62" i="2"/>
  <c r="S69" i="2"/>
  <c r="AR69" i="2" s="1"/>
  <c r="X73" i="2"/>
  <c r="S51" i="2"/>
  <c r="AR51" i="2" s="1"/>
  <c r="AJ53" i="2"/>
  <c r="S53" i="2"/>
  <c r="AR53" i="2" s="1"/>
  <c r="S59" i="2"/>
  <c r="AR59" i="2" s="1"/>
  <c r="AF60" i="2"/>
  <c r="AB62" i="2"/>
  <c r="S60" i="2"/>
  <c r="AR60" i="2" s="1"/>
  <c r="V51" i="2"/>
  <c r="X60" i="2"/>
  <c r="AB51" i="2"/>
  <c r="AB54" i="2"/>
  <c r="X57" i="2"/>
  <c r="S70" i="2"/>
  <c r="AR70" i="2" s="1"/>
  <c r="AO60" i="2" l="1"/>
  <c r="AP60" i="2"/>
  <c r="U16" i="2" l="1"/>
  <c r="T16" i="2"/>
  <c r="R16" i="2"/>
  <c r="Q16" i="2"/>
  <c r="AP16" i="2" s="1"/>
  <c r="U6" i="2"/>
  <c r="T6" i="2"/>
  <c r="Q6" i="2"/>
  <c r="P45" i="2"/>
  <c r="Q23" i="2"/>
  <c r="R39" i="2" l="1"/>
  <c r="Q39" i="2"/>
  <c r="Q21" i="2" l="1"/>
  <c r="Q35" i="2" l="1"/>
  <c r="Q29" i="2"/>
  <c r="Q30" i="2"/>
  <c r="AP42" i="2" l="1"/>
  <c r="S42" i="2"/>
  <c r="V42" i="2"/>
  <c r="AP21" i="2"/>
  <c r="AP9" i="2"/>
  <c r="AP29" i="2" l="1"/>
  <c r="AP49" i="2"/>
  <c r="AP48" i="2"/>
  <c r="AP47" i="2"/>
  <c r="AP46" i="2"/>
  <c r="AP43" i="2"/>
  <c r="AP40" i="2"/>
  <c r="AP39" i="2"/>
  <c r="AP38" i="2"/>
  <c r="AP37" i="2"/>
  <c r="AP36" i="2"/>
  <c r="AP35" i="2"/>
  <c r="AP34" i="2"/>
  <c r="AP33" i="2"/>
  <c r="AP27" i="2"/>
  <c r="AP26" i="2"/>
  <c r="R8" i="2"/>
  <c r="Q8" i="2"/>
  <c r="AP8" i="2" s="1"/>
  <c r="R15" i="2" l="1"/>
  <c r="Q15" i="2"/>
  <c r="AP15" i="2" l="1"/>
  <c r="R18" i="2"/>
  <c r="Q18" i="2"/>
  <c r="AP18" i="2" s="1"/>
  <c r="AO46" i="2" l="1"/>
  <c r="AR40" i="2"/>
  <c r="AR5" i="2"/>
  <c r="AQ5" i="2"/>
  <c r="X49" i="2"/>
  <c r="P49" i="2"/>
  <c r="V49" i="2" s="1"/>
  <c r="N49" i="2"/>
  <c r="X48" i="2"/>
  <c r="P48" i="2"/>
  <c r="S48" i="2" s="1"/>
  <c r="AR48" i="2" s="1"/>
  <c r="N48" i="2"/>
  <c r="AO75" i="2" l="1"/>
  <c r="AO76" i="2" s="1"/>
  <c r="S49" i="2"/>
  <c r="AR49" i="2" s="1"/>
  <c r="V48" i="2"/>
  <c r="R10" i="2" l="1"/>
  <c r="Q10" i="2"/>
  <c r="R7" i="2"/>
  <c r="Q7" i="2"/>
  <c r="AP7" i="2" s="1"/>
  <c r="R17" i="2"/>
  <c r="Q17" i="2"/>
  <c r="AP17" i="2" s="1"/>
  <c r="AP10" i="2" l="1"/>
  <c r="Q19" i="2"/>
  <c r="AP19" i="2" s="1"/>
  <c r="R22" i="2" l="1"/>
  <c r="Q22" i="2"/>
  <c r="AP22" i="2" s="1"/>
  <c r="P5" i="2" l="1"/>
  <c r="Q5" i="2"/>
  <c r="X35" i="2" l="1"/>
  <c r="N35" i="2"/>
  <c r="N40" i="2" l="1"/>
  <c r="P40" i="2"/>
  <c r="P41" i="2" l="1"/>
  <c r="N41" i="2"/>
  <c r="X41" i="2" l="1"/>
  <c r="Q41" i="2"/>
  <c r="AP41" i="2" s="1"/>
  <c r="N43" i="2"/>
  <c r="P43" i="2"/>
  <c r="X43" i="2" s="1"/>
  <c r="AP30" i="2" l="1"/>
  <c r="R20" i="2"/>
  <c r="Q20" i="2"/>
  <c r="AP20" i="2" s="1"/>
  <c r="Q44" i="2"/>
  <c r="AP44" i="2" s="1"/>
  <c r="P32" i="2"/>
  <c r="R24" i="2"/>
  <c r="Q24" i="2"/>
  <c r="AP24" i="2" s="1"/>
  <c r="R11" i="2"/>
  <c r="Q11" i="2"/>
  <c r="R6" i="2"/>
  <c r="V41" i="2"/>
  <c r="V43" i="2"/>
  <c r="R5" i="2"/>
  <c r="AP5" i="2" s="1"/>
  <c r="S41" i="2"/>
  <c r="AQ41" i="2" s="1"/>
  <c r="S43" i="2"/>
  <c r="AR43" i="2" s="1"/>
  <c r="AP6" i="2" l="1"/>
  <c r="L42" i="3"/>
  <c r="E43" i="3"/>
  <c r="G43" i="3"/>
  <c r="F7" i="3"/>
  <c r="D7" i="3"/>
  <c r="G7" i="3" s="1"/>
  <c r="J7" i="3" s="1"/>
  <c r="F6" i="3"/>
  <c r="D6" i="3"/>
  <c r="G6" i="3" s="1"/>
  <c r="J6" i="3" s="1"/>
  <c r="E17" i="3"/>
  <c r="F17" i="3" s="1"/>
  <c r="D17" i="3"/>
  <c r="E16" i="3"/>
  <c r="F16" i="3" s="1"/>
  <c r="G16" i="3" s="1"/>
  <c r="J16" i="3" s="1"/>
  <c r="D16" i="3"/>
  <c r="G17" i="3" l="1"/>
  <c r="J17" i="3" s="1"/>
  <c r="G51" i="3" l="1"/>
  <c r="L50" i="3" s="1"/>
  <c r="G50" i="3"/>
  <c r="G52" i="3"/>
  <c r="L52" i="3" s="1"/>
  <c r="E52" i="3"/>
  <c r="N2" i="2" l="1"/>
  <c r="P47" i="2"/>
  <c r="V47" i="2" s="1"/>
  <c r="F38" i="3"/>
  <c r="G38" i="3" s="1"/>
  <c r="F49" i="3"/>
  <c r="G49" i="3" s="1"/>
  <c r="S47" i="2" l="1"/>
  <c r="AR47" i="2" s="1"/>
  <c r="L49" i="3"/>
  <c r="P46" i="2"/>
  <c r="AP45" i="2" s="1"/>
  <c r="N46" i="2"/>
  <c r="G48" i="3"/>
  <c r="L48" i="3" s="1"/>
  <c r="E47" i="3"/>
  <c r="F47" i="3" s="1"/>
  <c r="G47" i="3" s="1"/>
  <c r="L47" i="3" s="1"/>
  <c r="G46" i="3"/>
  <c r="G45" i="3"/>
  <c r="L45" i="3" s="1"/>
  <c r="N47" i="2"/>
  <c r="E32" i="3"/>
  <c r="F32" i="3" s="1"/>
  <c r="G32" i="3" s="1"/>
  <c r="G44" i="3"/>
  <c r="L44" i="3" s="1"/>
  <c r="E44" i="3"/>
  <c r="X46" i="2" l="1"/>
  <c r="AR46" i="2"/>
  <c r="E13" i="3"/>
  <c r="F13" i="3" s="1"/>
  <c r="G13" i="3" s="1"/>
  <c r="J13" i="3" s="1"/>
  <c r="T25" i="5"/>
  <c r="O25" i="5"/>
  <c r="L25" i="5"/>
  <c r="G42" i="3" l="1"/>
  <c r="E42" i="3"/>
  <c r="X11" i="5" l="1"/>
  <c r="N23" i="4"/>
  <c r="L23" i="4"/>
  <c r="N45" i="2"/>
  <c r="G35" i="3"/>
  <c r="E35" i="3"/>
  <c r="S45" i="2" l="1"/>
  <c r="AR45" i="2" s="1"/>
  <c r="V45" i="2"/>
  <c r="X45" i="2"/>
  <c r="G41" i="3"/>
  <c r="L41" i="3" s="1"/>
  <c r="E10" i="7" l="1"/>
  <c r="G6" i="7"/>
  <c r="G5" i="7"/>
  <c r="G40" i="3"/>
  <c r="L40" i="3" s="1"/>
  <c r="G39" i="3" l="1"/>
  <c r="L39" i="3" s="1"/>
  <c r="F37" i="3" l="1"/>
  <c r="G37" i="3" s="1"/>
  <c r="L37" i="3" s="1"/>
  <c r="N22" i="4" l="1"/>
  <c r="L22" i="4"/>
  <c r="P44" i="2"/>
  <c r="V44" i="2" s="1"/>
  <c r="N44" i="2"/>
  <c r="C12" i="6"/>
  <c r="C14" i="6" s="1"/>
  <c r="G36" i="3"/>
  <c r="L36" i="3" s="1"/>
  <c r="E36" i="3"/>
  <c r="S44" i="2" l="1"/>
  <c r="AR44" i="2" s="1"/>
  <c r="AB44" i="2"/>
  <c r="X44" i="2"/>
  <c r="C19" i="6"/>
  <c r="C15" i="6"/>
  <c r="C16" i="6" s="1"/>
  <c r="E34" i="3"/>
  <c r="G34" i="3"/>
  <c r="L34" i="3" s="1"/>
  <c r="C20" i="6" l="1"/>
  <c r="C21" i="6" s="1"/>
  <c r="C23" i="6" s="1"/>
  <c r="C25" i="6" s="1"/>
  <c r="D19" i="6"/>
  <c r="D20" i="6" s="1"/>
  <c r="D21" i="6" s="1"/>
  <c r="D23" i="6" s="1"/>
  <c r="D25" i="6" s="1"/>
  <c r="N5" i="5"/>
  <c r="L24" i="5" l="1"/>
  <c r="O24" i="5"/>
  <c r="T24" i="5" s="1"/>
  <c r="O16" i="5"/>
  <c r="T16" i="5" s="1"/>
  <c r="L23" i="5"/>
  <c r="L22" i="5"/>
  <c r="L21" i="5"/>
  <c r="L20" i="5"/>
  <c r="L19" i="5"/>
  <c r="L18" i="5"/>
  <c r="L17" i="5"/>
  <c r="L16" i="5"/>
  <c r="L15" i="5"/>
  <c r="L11" i="5"/>
  <c r="L10" i="5"/>
  <c r="O14" i="5"/>
  <c r="T14" i="5" s="1"/>
  <c r="L14" i="5"/>
  <c r="O23" i="5"/>
  <c r="T23" i="5" s="1"/>
  <c r="O22" i="5"/>
  <c r="T22" i="5" s="1"/>
  <c r="O21" i="5"/>
  <c r="T21" i="5" s="1"/>
  <c r="O20" i="5"/>
  <c r="T20" i="5" s="1"/>
  <c r="O19" i="5"/>
  <c r="T19" i="5" s="1"/>
  <c r="O18" i="5"/>
  <c r="T18" i="5" l="1"/>
  <c r="X18" i="5"/>
  <c r="G33" i="3"/>
  <c r="L33" i="3" s="1"/>
  <c r="P37" i="2" l="1"/>
  <c r="V37" i="2" s="1"/>
  <c r="D3" i="6"/>
  <c r="E3" i="6" s="1"/>
  <c r="F3" i="6" s="1"/>
  <c r="X37" i="2" l="1"/>
  <c r="S37" i="2"/>
  <c r="AR37" i="2" s="1"/>
  <c r="P39" i="2"/>
  <c r="V39" i="2" s="1"/>
  <c r="X39" i="2" l="1"/>
  <c r="S39" i="2"/>
  <c r="AR39" i="2" s="1"/>
  <c r="AJ39" i="2"/>
  <c r="AF39" i="2"/>
  <c r="AB39" i="2"/>
  <c r="E31" i="3" l="1"/>
  <c r="F31" i="3" s="1"/>
  <c r="G31" i="3" s="1"/>
  <c r="L31" i="3" s="1"/>
  <c r="F30" i="3"/>
  <c r="G30" i="3" s="1"/>
  <c r="L30" i="3" s="1"/>
  <c r="O17" i="5" l="1"/>
  <c r="P38" i="2"/>
  <c r="V38" i="2" s="1"/>
  <c r="CZ32" i="2"/>
  <c r="CZ31" i="2"/>
  <c r="CZ30" i="2"/>
  <c r="AJ38" i="2" l="1"/>
  <c r="S38" i="2"/>
  <c r="AR38" i="2" s="1"/>
  <c r="T17" i="5"/>
  <c r="X38" i="2"/>
  <c r="AB38" i="2"/>
  <c r="AF38" i="2"/>
  <c r="O29" i="2"/>
  <c r="O15" i="5" l="1"/>
  <c r="T15" i="5" s="1"/>
  <c r="P27" i="2"/>
  <c r="V27" i="2" s="1"/>
  <c r="X27" i="2" l="1"/>
  <c r="S27" i="2"/>
  <c r="AR27" i="2" s="1"/>
  <c r="O11" i="5"/>
  <c r="O10" i="5"/>
  <c r="T10" i="5" s="1"/>
  <c r="M6" i="5"/>
  <c r="O6" i="5" s="1"/>
  <c r="A6" i="5"/>
  <c r="A7" i="5" s="1"/>
  <c r="A8" i="5" s="1"/>
  <c r="A9" i="5" s="1"/>
  <c r="M5" i="5"/>
  <c r="O5" i="5" s="1"/>
  <c r="CD36" i="2" l="1"/>
  <c r="CE36" i="2" s="1"/>
  <c r="CD31" i="2"/>
  <c r="CE31" i="2" s="1"/>
  <c r="CD34" i="2"/>
  <c r="CE34" i="2" s="1"/>
  <c r="CD8" i="2"/>
  <c r="CE8" i="2" s="1"/>
  <c r="CD29" i="2"/>
  <c r="CE29" i="2" s="1"/>
  <c r="CD13" i="2"/>
  <c r="CE13" i="2" s="1"/>
  <c r="CD32" i="2"/>
  <c r="CE32" i="2" s="1"/>
  <c r="CD11" i="2"/>
  <c r="CE11" i="2" s="1"/>
  <c r="CD19" i="2"/>
  <c r="CE19" i="2" s="1"/>
  <c r="CD30" i="2"/>
  <c r="CE30" i="2" s="1"/>
  <c r="CD14" i="2"/>
  <c r="CE14" i="2" s="1"/>
  <c r="CD24" i="2"/>
  <c r="CE24" i="2" s="1"/>
  <c r="CD33" i="2"/>
  <c r="CE33" i="2" s="1"/>
  <c r="CD12" i="2"/>
  <c r="CE12" i="2" s="1"/>
  <c r="CD6" i="2"/>
  <c r="CE6" i="2" s="1"/>
  <c r="T11" i="5"/>
  <c r="T6" i="5"/>
  <c r="T5" i="5"/>
  <c r="CD5" i="2"/>
  <c r="CE5" i="2" s="1"/>
  <c r="CD35" i="2"/>
  <c r="CE35" i="2" s="1"/>
  <c r="F29" i="3" l="1"/>
  <c r="G29" i="3" s="1"/>
  <c r="F28" i="3"/>
  <c r="G28" i="3" s="1"/>
  <c r="F27" i="3"/>
  <c r="G27" i="3" s="1"/>
  <c r="F26" i="3"/>
  <c r="G26" i="3" s="1"/>
  <c r="J26" i="3" s="1"/>
  <c r="F25" i="3"/>
  <c r="G25" i="3" s="1"/>
  <c r="J27" i="3" l="1"/>
  <c r="L27" i="3" s="1"/>
  <c r="J28" i="3"/>
  <c r="L28" i="3" s="1"/>
  <c r="J29" i="3"/>
  <c r="L29" i="3" s="1"/>
  <c r="L26" i="3"/>
  <c r="T15" i="4"/>
  <c r="L15" i="4"/>
  <c r="M15" i="4" s="1"/>
  <c r="N15" i="4" s="1"/>
  <c r="T14" i="4"/>
  <c r="M14" i="4"/>
  <c r="N14" i="4" s="1"/>
  <c r="T13" i="4"/>
  <c r="M13" i="4"/>
  <c r="N13" i="4" s="1"/>
  <c r="T12" i="4"/>
  <c r="M12" i="4"/>
  <c r="N12" i="4" s="1"/>
  <c r="T11" i="4"/>
  <c r="M11" i="4"/>
  <c r="N11" i="4" s="1"/>
  <c r="M10" i="4"/>
  <c r="N10" i="4" s="1"/>
  <c r="P15" i="2"/>
  <c r="V15" i="2" s="1"/>
  <c r="AA18" i="2"/>
  <c r="N18" i="2"/>
  <c r="O8" i="2"/>
  <c r="P8" i="2" l="1"/>
  <c r="V8" i="2" s="1"/>
  <c r="AJ15" i="2"/>
  <c r="O18" i="2"/>
  <c r="P18" i="2" s="1"/>
  <c r="V18" i="2" s="1"/>
  <c r="X15" i="4"/>
  <c r="U15" i="4"/>
  <c r="AA15" i="4"/>
  <c r="R15" i="4"/>
  <c r="R11" i="4"/>
  <c r="AA11" i="4"/>
  <c r="X11" i="4"/>
  <c r="U11" i="4"/>
  <c r="X13" i="4"/>
  <c r="U13" i="4"/>
  <c r="R13" i="4"/>
  <c r="AA13" i="4"/>
  <c r="U12" i="4"/>
  <c r="R12" i="4"/>
  <c r="AA12" i="4"/>
  <c r="X12" i="4"/>
  <c r="AA14" i="4"/>
  <c r="X14" i="4"/>
  <c r="U14" i="4"/>
  <c r="R14" i="4"/>
  <c r="X15" i="2"/>
  <c r="AB15" i="2"/>
  <c r="AF15" i="2"/>
  <c r="AV7" i="4"/>
  <c r="AU7" i="4"/>
  <c r="P35" i="2"/>
  <c r="S32" i="2"/>
  <c r="P31" i="2"/>
  <c r="X31" i="2" s="1"/>
  <c r="P30" i="2"/>
  <c r="V30" i="2" s="1"/>
  <c r="P33" i="2"/>
  <c r="G24" i="3"/>
  <c r="L24" i="3" s="1"/>
  <c r="P34" i="2"/>
  <c r="V34" i="2" s="1"/>
  <c r="P36" i="2"/>
  <c r="V36" i="2" s="1"/>
  <c r="N15" i="2"/>
  <c r="E23" i="3"/>
  <c r="F23" i="3" s="1"/>
  <c r="G23" i="3" s="1"/>
  <c r="L23" i="3" s="1"/>
  <c r="E11" i="3"/>
  <c r="F11" i="3" s="1"/>
  <c r="G11" i="3" s="1"/>
  <c r="AF8" i="2" l="1"/>
  <c r="AB8" i="2"/>
  <c r="X8" i="2"/>
  <c r="S8" i="2"/>
  <c r="AJ8" i="2"/>
  <c r="V33" i="2"/>
  <c r="AB33" i="2"/>
  <c r="V35" i="2"/>
  <c r="S33" i="2"/>
  <c r="AR33" i="2" s="1"/>
  <c r="S35" i="2"/>
  <c r="AR35" i="2" s="1"/>
  <c r="S36" i="2"/>
  <c r="AR36" i="2" s="1"/>
  <c r="AR31" i="2"/>
  <c r="V31" i="2"/>
  <c r="AJ18" i="2"/>
  <c r="S18" i="2"/>
  <c r="AR18" i="2" s="1"/>
  <c r="X30" i="2"/>
  <c r="S30" i="2"/>
  <c r="AR30" i="2" s="1"/>
  <c r="X34" i="2"/>
  <c r="S34" i="2"/>
  <c r="AR34" i="2" s="1"/>
  <c r="S15" i="2"/>
  <c r="AR15" i="2" s="1"/>
  <c r="X36" i="2"/>
  <c r="AB36" i="2"/>
  <c r="X18" i="2"/>
  <c r="AJ30" i="2"/>
  <c r="AF30" i="2"/>
  <c r="AB30" i="2"/>
  <c r="AB18" i="2"/>
  <c r="AF18" i="2"/>
  <c r="J11" i="3"/>
  <c r="L11" i="3" s="1"/>
  <c r="F19" i="3"/>
  <c r="G19" i="3" s="1"/>
  <c r="CD18" i="2" l="1"/>
  <c r="CE18" i="2" s="1"/>
  <c r="CD15" i="2"/>
  <c r="CE15" i="2" s="1"/>
  <c r="J19" i="3"/>
  <c r="L19" i="3" s="1"/>
  <c r="N26" i="2"/>
  <c r="N25" i="2"/>
  <c r="E20" i="3"/>
  <c r="F20" i="3" s="1"/>
  <c r="G20" i="3" s="1"/>
  <c r="E21" i="3"/>
  <c r="F21" i="3" s="1"/>
  <c r="E22" i="3"/>
  <c r="F22" i="3" s="1"/>
  <c r="F18" i="3"/>
  <c r="G18" i="3" s="1"/>
  <c r="E15" i="3"/>
  <c r="F15" i="3" s="1"/>
  <c r="D15" i="3"/>
  <c r="E14" i="3"/>
  <c r="F14" i="3" s="1"/>
  <c r="G14" i="3" s="1"/>
  <c r="E12" i="3"/>
  <c r="F12" i="3" s="1"/>
  <c r="G12" i="3" s="1"/>
  <c r="E10" i="3"/>
  <c r="F10" i="3" s="1"/>
  <c r="G10" i="3" s="1"/>
  <c r="E9" i="3"/>
  <c r="F9" i="3" s="1"/>
  <c r="G9" i="3" s="1"/>
  <c r="E8" i="3"/>
  <c r="F8" i="3" s="1"/>
  <c r="G8" i="3" s="1"/>
  <c r="F5" i="3"/>
  <c r="D5" i="3"/>
  <c r="A9" i="3"/>
  <c r="A10" i="3" s="1"/>
  <c r="N22" i="2"/>
  <c r="A12" i="3" l="1"/>
  <c r="A14" i="3" s="1"/>
  <c r="A15" i="3" s="1"/>
  <c r="A18" i="3" s="1"/>
  <c r="CD25" i="2"/>
  <c r="CE25" i="2" s="1"/>
  <c r="CD26" i="2"/>
  <c r="CE26" i="2" s="1"/>
  <c r="J8" i="3"/>
  <c r="L8" i="3" s="1"/>
  <c r="G22" i="3"/>
  <c r="L22" i="3" s="1"/>
  <c r="J9" i="3"/>
  <c r="L9" i="3" s="1"/>
  <c r="J20" i="3"/>
  <c r="L20" i="3" s="1"/>
  <c r="J10" i="3"/>
  <c r="L10" i="3" s="1"/>
  <c r="J14" i="3"/>
  <c r="L14" i="3" s="1"/>
  <c r="J12" i="3"/>
  <c r="L12" i="3" s="1"/>
  <c r="J18" i="3"/>
  <c r="L18" i="3" s="1"/>
  <c r="G5" i="3"/>
  <c r="G21" i="3"/>
  <c r="G15" i="3"/>
  <c r="A20" i="3" l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3" i="3" s="1"/>
  <c r="A34" i="3" s="1"/>
  <c r="A36" i="3" s="1"/>
  <c r="A37" i="3" s="1"/>
  <c r="A39" i="3" s="1"/>
  <c r="A40" i="3" s="1"/>
  <c r="A41" i="3" s="1"/>
  <c r="A42" i="3" s="1"/>
  <c r="A44" i="3" s="1"/>
  <c r="A45" i="3" s="1"/>
  <c r="A46" i="3" s="1"/>
  <c r="A47" i="3" s="1"/>
  <c r="A48" i="3" s="1"/>
  <c r="A49" i="3" s="1"/>
  <c r="A50" i="3" s="1"/>
  <c r="A52" i="3" s="1"/>
  <c r="J15" i="3"/>
  <c r="L15" i="3" s="1"/>
  <c r="J21" i="3"/>
  <c r="L21" i="3" s="1"/>
  <c r="J5" i="3"/>
  <c r="L5" i="3" s="1"/>
  <c r="P29" i="2"/>
  <c r="S29" i="2" l="1"/>
  <c r="AQ29" i="2" s="1"/>
  <c r="V29" i="2"/>
  <c r="X29" i="2"/>
  <c r="N28" i="2"/>
  <c r="O26" i="2"/>
  <c r="O25" i="2"/>
  <c r="P25" i="2" s="1"/>
  <c r="O24" i="2"/>
  <c r="P24" i="2" s="1"/>
  <c r="N23" i="2"/>
  <c r="O23" i="2" s="1"/>
  <c r="L23" i="2"/>
  <c r="O22" i="2"/>
  <c r="L22" i="2"/>
  <c r="AA21" i="2"/>
  <c r="N21" i="2"/>
  <c r="N20" i="2"/>
  <c r="O19" i="2"/>
  <c r="P19" i="2" s="1"/>
  <c r="N17" i="2"/>
  <c r="N16" i="2"/>
  <c r="AA14" i="2"/>
  <c r="O14" i="2"/>
  <c r="P14" i="2" s="1"/>
  <c r="AP14" i="2" s="1"/>
  <c r="AA13" i="2"/>
  <c r="O13" i="2"/>
  <c r="P13" i="2" s="1"/>
  <c r="AP13" i="2" s="1"/>
  <c r="AA12" i="2"/>
  <c r="O12" i="2"/>
  <c r="P12" i="2" s="1"/>
  <c r="AP12" i="2" s="1"/>
  <c r="AA11" i="2"/>
  <c r="O11" i="2"/>
  <c r="P11" i="2" s="1"/>
  <c r="AP11" i="2" s="1"/>
  <c r="N10" i="2"/>
  <c r="AA9" i="2"/>
  <c r="N9" i="2"/>
  <c r="O7" i="2"/>
  <c r="L7" i="2"/>
  <c r="O6" i="2"/>
  <c r="P6" i="2" s="1"/>
  <c r="A6" i="2"/>
  <c r="A7" i="2" s="1"/>
  <c r="S6" i="2" l="1"/>
  <c r="V6" i="2"/>
  <c r="AQ75" i="2"/>
  <c r="AQ76" i="2" s="1"/>
  <c r="V5" i="2"/>
  <c r="S19" i="2"/>
  <c r="AR19" i="2" s="1"/>
  <c r="V19" i="2"/>
  <c r="S24" i="2"/>
  <c r="V24" i="2"/>
  <c r="V11" i="2"/>
  <c r="S11" i="2"/>
  <c r="S5" i="2"/>
  <c r="CD21" i="2"/>
  <c r="CE21" i="2" s="1"/>
  <c r="O10" i="2"/>
  <c r="P10" i="2" s="1"/>
  <c r="V10" i="2" s="1"/>
  <c r="O16" i="2"/>
  <c r="P16" i="2" s="1"/>
  <c r="O17" i="2"/>
  <c r="P17" i="2" s="1"/>
  <c r="O9" i="2"/>
  <c r="P9" i="2" s="1"/>
  <c r="V9" i="2" s="1"/>
  <c r="O20" i="2"/>
  <c r="P20" i="2" s="1"/>
  <c r="V20" i="2" s="1"/>
  <c r="O21" i="2"/>
  <c r="P21" i="2" s="1"/>
  <c r="AB5" i="2"/>
  <c r="X5" i="2"/>
  <c r="AF19" i="2"/>
  <c r="AJ19" i="2"/>
  <c r="AB19" i="2"/>
  <c r="X19" i="2"/>
  <c r="AF6" i="2"/>
  <c r="AJ6" i="2"/>
  <c r="AB6" i="2"/>
  <c r="X6" i="2"/>
  <c r="A10" i="2"/>
  <c r="A11" i="2" s="1"/>
  <c r="A12" i="2" s="1"/>
  <c r="A13" i="2" s="1"/>
  <c r="A14" i="2" s="1"/>
  <c r="A16" i="2" s="1"/>
  <c r="A17" i="2" s="1"/>
  <c r="A18" i="2" s="1"/>
  <c r="A19" i="2" s="1"/>
  <c r="A20" i="2" s="1"/>
  <c r="A21" i="2" s="1"/>
  <c r="A22" i="2" s="1"/>
  <c r="O28" i="2"/>
  <c r="P28" i="2" s="1"/>
  <c r="P26" i="2"/>
  <c r="X24" i="2"/>
  <c r="X25" i="2"/>
  <c r="Q25" i="2" s="1"/>
  <c r="AP25" i="2" s="1"/>
  <c r="P23" i="2"/>
  <c r="S23" i="2" s="1"/>
  <c r="P22" i="2"/>
  <c r="V22" i="2" s="1"/>
  <c r="P7" i="2"/>
  <c r="V7" i="2" s="1"/>
  <c r="X13" i="2"/>
  <c r="AF13" i="2"/>
  <c r="AB13" i="2"/>
  <c r="AJ13" i="2"/>
  <c r="X14" i="2"/>
  <c r="AF14" i="2"/>
  <c r="AB14" i="2"/>
  <c r="AJ14" i="2"/>
  <c r="X11" i="2"/>
  <c r="AF11" i="2"/>
  <c r="AB11" i="2"/>
  <c r="AJ11" i="2"/>
  <c r="X12" i="2"/>
  <c r="AF12" i="2"/>
  <c r="AB12" i="2"/>
  <c r="AJ12" i="2"/>
  <c r="S16" i="2" l="1"/>
  <c r="AR16" i="2" s="1"/>
  <c r="V16" i="2"/>
  <c r="S25" i="2"/>
  <c r="AR25" i="2" s="1"/>
  <c r="S10" i="2"/>
  <c r="V25" i="2"/>
  <c r="S7" i="2"/>
  <c r="S9" i="2"/>
  <c r="S26" i="2"/>
  <c r="AR26" i="2" s="1"/>
  <c r="V26" i="2"/>
  <c r="S17" i="2"/>
  <c r="AR17" i="2" s="1"/>
  <c r="V17" i="2"/>
  <c r="AR23" i="2"/>
  <c r="V23" i="2"/>
  <c r="S21" i="2"/>
  <c r="AR21" i="2" s="1"/>
  <c r="V21" i="2"/>
  <c r="X26" i="2"/>
  <c r="AB22" i="2"/>
  <c r="AF20" i="2"/>
  <c r="CD22" i="2"/>
  <c r="CE22" i="2" s="1"/>
  <c r="X16" i="2"/>
  <c r="AB16" i="2"/>
  <c r="AB20" i="2"/>
  <c r="S20" i="2" s="1"/>
  <c r="AR20" i="2" s="1"/>
  <c r="X10" i="2"/>
  <c r="AJ10" i="2"/>
  <c r="AF10" i="2"/>
  <c r="AB10" i="2"/>
  <c r="X20" i="2"/>
  <c r="AJ20" i="2"/>
  <c r="CD7" i="2"/>
  <c r="CE7" i="2" s="1"/>
  <c r="CD23" i="2"/>
  <c r="CE23" i="2" s="1"/>
  <c r="CD28" i="2"/>
  <c r="CE28" i="2" s="1"/>
  <c r="AF17" i="2"/>
  <c r="CD20" i="2"/>
  <c r="CE20" i="2" s="1"/>
  <c r="CD10" i="2"/>
  <c r="CE10" i="2" s="1"/>
  <c r="CD9" i="2"/>
  <c r="CE9" i="2" s="1"/>
  <c r="X17" i="2"/>
  <c r="AB17" i="2"/>
  <c r="AF9" i="2"/>
  <c r="AJ9" i="2"/>
  <c r="X9" i="2"/>
  <c r="AB9" i="2"/>
  <c r="AF21" i="2"/>
  <c r="X21" i="2"/>
  <c r="AJ21" i="2"/>
  <c r="AB21" i="2"/>
  <c r="J25" i="3"/>
  <c r="L25" i="3" s="1"/>
  <c r="X28" i="2"/>
  <c r="Q28" i="2" s="1"/>
  <c r="AP28" i="2" s="1"/>
  <c r="AP75" i="2" s="1"/>
  <c r="A23" i="2"/>
  <c r="A24" i="2" s="1"/>
  <c r="A25" i="2" s="1"/>
  <c r="A26" i="2" s="1"/>
  <c r="A28" i="2" s="1"/>
  <c r="A29" i="2" s="1"/>
  <c r="A30" i="2" s="1"/>
  <c r="A31" i="2" s="1"/>
  <c r="A32" i="2" s="1"/>
  <c r="AB23" i="2"/>
  <c r="X23" i="2"/>
  <c r="AF7" i="2"/>
  <c r="AJ7" i="2"/>
  <c r="X7" i="2"/>
  <c r="AB7" i="2"/>
  <c r="X22" i="2"/>
  <c r="AF22" i="2"/>
  <c r="AJ22" i="2"/>
  <c r="AR75" i="2" l="1"/>
  <c r="AR76" i="2" s="1"/>
  <c r="S28" i="2"/>
  <c r="AR28" i="2" s="1"/>
  <c r="V28" i="2"/>
  <c r="S22" i="2"/>
  <c r="CD16" i="2"/>
  <c r="CE16" i="2" s="1"/>
  <c r="CD17" i="2"/>
  <c r="CE17" i="2" s="1"/>
  <c r="L7" i="5"/>
  <c r="O7" i="5"/>
  <c r="T7" i="5" s="1"/>
  <c r="L13" i="5"/>
  <c r="O13" i="5"/>
  <c r="T13" i="5" s="1"/>
  <c r="O8" i="5"/>
  <c r="T8" i="5" s="1"/>
  <c r="L8" i="5"/>
  <c r="L9" i="5"/>
  <c r="O9" i="5"/>
  <c r="T9" i="5" s="1"/>
  <c r="O12" i="5"/>
  <c r="L12" i="5"/>
  <c r="AP76" i="2" l="1"/>
  <c r="AO78" i="2"/>
  <c r="AO80" i="2" s="1"/>
  <c r="T12" i="5"/>
  <c r="X1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tc={8EC78016-2E27-4DE8-99AB-30921AF82476}</author>
    <author>tc={B767C869-5E94-4603-A799-468F81AC4A7E}</author>
    <author>tc={DF462078-205E-4F20-A8D0-F2F5351F65E9}</author>
    <author>tc={DF2258A4-10A0-40D5-9D10-0122461D5778}</author>
    <author>tc={0A291898-DBD7-44D7-A96C-FF2F2FCEEE4B}</author>
    <author>tc={3CFC9D38-8A9A-41F9-82CA-D9AB7EC0DE33}</author>
  </authors>
  <commentList>
    <comment ref="F8" authorId="0" shapeId="0" xr:uid="{8EC78016-2E27-4DE8-99AB-30921AF8247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 per Pratik yes but we didn’t received
</t>
      </text>
    </comment>
    <comment ref="L41" authorId="1" shapeId="0" xr:uid="{B767C869-5E94-4603-A799-468F81AC4A7E}">
      <text>
        <t>[Threaded comment]
Your version of Excel allows you to read this threaded comment; however, any edits to it will get removed if the file is opened in a newer version of Excel. Learn more: https://go.microsoft.com/fwlink/?linkid=870924
Comment:
    35 Students</t>
      </text>
    </comment>
    <comment ref="O60" authorId="2" shapeId="0" xr:uid="{DF462078-205E-4F20-A8D0-F2F5351F65E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Including trainer cost Rs.300 per student
</t>
      </text>
    </comment>
    <comment ref="X60" authorId="3" shapeId="0" xr:uid="{DF2258A4-10A0-40D5-9D10-0122461D577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94000 pending </t>
      </text>
    </comment>
    <comment ref="O67" authorId="4" shapeId="0" xr:uid="{0A291898-DBD7-44D7-A96C-FF2F2FCEEE4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Including GSL trainer cost 300 per students
1200+300
</t>
      </text>
    </comment>
    <comment ref="R68" authorId="5" shapeId="0" xr:uid="{3CFC9D38-8A9A-41F9-82CA-D9AB7EC0DE3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 Invoice Value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tc={D3D5125B-2789-4EBD-AAD8-F96C5680BEBD}</author>
    <author>tc={960DF2E3-44D0-4DAB-ACE4-F411487D1F47}</author>
    <author>tc={29651DD7-1475-4C80-B8FE-A0F2F5C56CB0}</author>
    <author>tc={7206F485-E76C-484B-B096-3D37739AB62D}</author>
  </authors>
  <commentList>
    <comment ref="O15" authorId="0" shapeId="0" xr:uid="{D3D5125B-2789-4EBD-AAD8-F96C5680BEB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Including trainer cost Rs.300 per student
</t>
      </text>
    </comment>
    <comment ref="X15" authorId="1" shapeId="0" xr:uid="{960DF2E3-44D0-4DAB-ACE4-F411487D1F4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94000 pending </t>
      </text>
    </comment>
    <comment ref="O22" authorId="2" shapeId="0" xr:uid="{29651DD7-1475-4C80-B8FE-A0F2F5C56CB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Including GSL trainer cost 300 per students
1200+300
</t>
      </text>
    </comment>
    <comment ref="R23" authorId="3" shapeId="0" xr:uid="{7206F485-E76C-484B-B096-3D37739AB62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 Invoice Value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tc={2CF149D2-AB62-46C0-9ECA-29F33C0716C0}</author>
  </authors>
  <commentList>
    <comment ref="E5" authorId="0" shapeId="0" xr:uid="{2CF149D2-AB62-46C0-9ECA-29F33C0716C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 per Pratik yes but we didn’t received
</t>
      </text>
    </comment>
  </commentList>
</comments>
</file>

<file path=xl/sharedStrings.xml><?xml version="1.0" encoding="utf-8"?>
<sst xmlns="http://schemas.openxmlformats.org/spreadsheetml/2006/main" count="1787" uniqueCount="368">
  <si>
    <t>GET SET LEARN</t>
  </si>
  <si>
    <t>SALES MOU SUMMARY : FY 25-26</t>
  </si>
  <si>
    <t>TINKRWORKS COST</t>
  </si>
  <si>
    <t>INSTALLMENT I</t>
  </si>
  <si>
    <t>INSTALLMENT II</t>
  </si>
  <si>
    <t>INSTALLMENT III</t>
  </si>
  <si>
    <t>INSTALLMENT IV</t>
  </si>
  <si>
    <t>P3</t>
  </si>
  <si>
    <t>AE2 (3to 4)</t>
  </si>
  <si>
    <t>LP</t>
  </si>
  <si>
    <t>SB</t>
  </si>
  <si>
    <t>TEX</t>
  </si>
  <si>
    <t>PP</t>
  </si>
  <si>
    <t>TB</t>
  </si>
  <si>
    <t>TSYN</t>
  </si>
  <si>
    <t>MC</t>
  </si>
  <si>
    <t>SL</t>
  </si>
  <si>
    <t>Tech A Sketch</t>
  </si>
  <si>
    <t>Tpy</t>
  </si>
  <si>
    <t>Total COGS</t>
  </si>
  <si>
    <t>Storage Cost</t>
  </si>
  <si>
    <t>Wear &amp; Tear</t>
  </si>
  <si>
    <t>Work Sheet Cost Per Student</t>
  </si>
  <si>
    <t>Booklet cost per student</t>
  </si>
  <si>
    <t>Outward Freight</t>
  </si>
  <si>
    <t>Channel Partner Cost (% of Sale)</t>
  </si>
  <si>
    <t>Training Cost (% of Sale)</t>
  </si>
  <si>
    <t>Total Cost</t>
  </si>
  <si>
    <t>Profit</t>
  </si>
  <si>
    <t>Sr. No.</t>
  </si>
  <si>
    <t>Name of School</t>
  </si>
  <si>
    <t>No. of Schools</t>
  </si>
  <si>
    <t>Physical copy &amp; Scanned</t>
  </si>
  <si>
    <t>MOU</t>
  </si>
  <si>
    <t>Kits Sent</t>
  </si>
  <si>
    <t>Duration</t>
  </si>
  <si>
    <t>City / Location</t>
  </si>
  <si>
    <t>State</t>
  </si>
  <si>
    <t>No. of Students (As per MOU)</t>
  </si>
  <si>
    <t>Actual No. of Students (As per Invoice)</t>
  </si>
  <si>
    <t>SP per Student (w/o Tax)</t>
  </si>
  <si>
    <t>SP per Student (including Tax)</t>
  </si>
  <si>
    <t>Sales Amount (including Tax)</t>
  </si>
  <si>
    <t>Amount Received</t>
  </si>
  <si>
    <t>Full / Part Invoice  Raised</t>
  </si>
  <si>
    <t>%</t>
  </si>
  <si>
    <t>Amount</t>
  </si>
  <si>
    <t>Month</t>
  </si>
  <si>
    <t>Total No. of Kits</t>
  </si>
  <si>
    <t>COGS</t>
  </si>
  <si>
    <t>Sale Price w/o GSt</t>
  </si>
  <si>
    <t>Profit / (Loss) Per School</t>
  </si>
  <si>
    <t>Laxmipat Singhania Academy</t>
  </si>
  <si>
    <t>Existing School</t>
  </si>
  <si>
    <t>YES</t>
  </si>
  <si>
    <t>01st April 2025 to 31st march 2026</t>
  </si>
  <si>
    <t>Kolkata</t>
  </si>
  <si>
    <t>West Bengal</t>
  </si>
  <si>
    <t>Sep-25</t>
  </si>
  <si>
    <t>Don Bosco Bandel</t>
  </si>
  <si>
    <t>Bandel, West Bengal</t>
  </si>
  <si>
    <t>Jun-25</t>
  </si>
  <si>
    <t>Oct-25</t>
  </si>
  <si>
    <t>Jan-25</t>
  </si>
  <si>
    <t>Loreto Day School BB</t>
  </si>
  <si>
    <t>Apr-25</t>
  </si>
  <si>
    <t>Jul-25</t>
  </si>
  <si>
    <t>Loreto House - Kolkata</t>
  </si>
  <si>
    <t>AWAITED</t>
  </si>
  <si>
    <t>May-25</t>
  </si>
  <si>
    <t>Aug-25</t>
  </si>
  <si>
    <t>Feb-25</t>
  </si>
  <si>
    <t>Carmel Convent High School, Durgapur</t>
  </si>
  <si>
    <t>Durgapur, West bengal</t>
  </si>
  <si>
    <t>Carmel School, Durgapur</t>
  </si>
  <si>
    <t>Dec-25</t>
  </si>
  <si>
    <t>Julien Educational Trust, Eglin Road</t>
  </si>
  <si>
    <t>Julien Educational Trust, Kalyani</t>
  </si>
  <si>
    <t>Kalyani</t>
  </si>
  <si>
    <t>Julien Educational Trust, Ganganagar</t>
  </si>
  <si>
    <t>Ganganagar</t>
  </si>
  <si>
    <t>Julien Educational Trust, Howrah</t>
  </si>
  <si>
    <t>Howrah</t>
  </si>
  <si>
    <t>Contai Public School</t>
  </si>
  <si>
    <t>July-25</t>
  </si>
  <si>
    <t>Sept-25</t>
  </si>
  <si>
    <t>Young Horizons School</t>
  </si>
  <si>
    <t>Medinpur</t>
  </si>
  <si>
    <t>Swarnim International School</t>
  </si>
  <si>
    <t>St. Paul’s Mission School</t>
  </si>
  <si>
    <t>St. Paul Boarding and Day School</t>
  </si>
  <si>
    <t>Lions Calcutta Greater Vidya Mandir</t>
  </si>
  <si>
    <t>Sonarpur</t>
  </si>
  <si>
    <t>Oct 25</t>
  </si>
  <si>
    <t>St. John’s School</t>
  </si>
  <si>
    <t>St. Montfort's Sr. Secondary School, Baruipur</t>
  </si>
  <si>
    <t>Berhampore City Public School</t>
  </si>
  <si>
    <t>Berhampore</t>
  </si>
  <si>
    <t>Shaw Public School</t>
  </si>
  <si>
    <t>Sri R. N. Singh Memorial High School (For Class 8)</t>
  </si>
  <si>
    <t>Sri R. N. Singh Memorial High School</t>
  </si>
  <si>
    <t>BGS School</t>
  </si>
  <si>
    <t>Doon Scholars School</t>
  </si>
  <si>
    <t>Dehradun</t>
  </si>
  <si>
    <t>Uttarakhand</t>
  </si>
  <si>
    <t>RBSM PUBLIC SCHOOL</t>
  </si>
  <si>
    <t>Gurugram</t>
  </si>
  <si>
    <t>Haryana</t>
  </si>
  <si>
    <t>NARAYANA SCHOOL</t>
  </si>
  <si>
    <t>NO</t>
  </si>
  <si>
    <t xml:space="preserve">KAZIMAN RAI MEMORIAL TRUST </t>
  </si>
  <si>
    <t>Shemrock School</t>
  </si>
  <si>
    <t>Nagaland</t>
  </si>
  <si>
    <t>ITIKI School</t>
  </si>
  <si>
    <t>The Shree ji school</t>
  </si>
  <si>
    <t>As per email</t>
  </si>
  <si>
    <t>Faridabad</t>
  </si>
  <si>
    <t>Sumana Dutta Memorial Vivekananda International School</t>
  </si>
  <si>
    <t>Singhbhum</t>
  </si>
  <si>
    <t>Jharkhand</t>
  </si>
  <si>
    <t>01st April 2026 to 31st March 2027</t>
  </si>
  <si>
    <t>Loreto Day School Kolkata</t>
  </si>
  <si>
    <t>INSTALLMENT 1</t>
  </si>
  <si>
    <t>Bill no.</t>
  </si>
  <si>
    <t>Unbilled Amount</t>
  </si>
  <si>
    <t>April</t>
  </si>
  <si>
    <t>MTPL/UP/25-26/6</t>
  </si>
  <si>
    <t>MTPL/UP/25-26/5</t>
  </si>
  <si>
    <t>MTPL/UP/25-26/7</t>
  </si>
  <si>
    <t>MTPL/UP/25-26/8</t>
  </si>
  <si>
    <t>May</t>
  </si>
  <si>
    <t>MTPL/UP/25-26/21</t>
  </si>
  <si>
    <t>MTPL/UP/25-26/9</t>
  </si>
  <si>
    <t>MTPL/UP/25-26/10</t>
  </si>
  <si>
    <t>MTPL/UP/25-26/11</t>
  </si>
  <si>
    <t>MTPL/UP/25-26/12 -</t>
  </si>
  <si>
    <t xml:space="preserve"> MTPL/UP/25-26/17</t>
  </si>
  <si>
    <t>MTPL/UP/25-26/13 ; 14 / 15</t>
  </si>
  <si>
    <t>MTPL/UP/25-26/4</t>
  </si>
  <si>
    <t>MTPL/UP/25-26/22</t>
  </si>
  <si>
    <t>June</t>
  </si>
  <si>
    <t>MTPL/UP/25-26/25</t>
  </si>
  <si>
    <t>MTPL/UP/25-26/26</t>
  </si>
  <si>
    <t>MTPL/UP/25-26/27</t>
  </si>
  <si>
    <t>MTPL/UP/25-26/28</t>
  </si>
  <si>
    <t>MTPL/UP/25-26/29</t>
  </si>
  <si>
    <t>MTPL/UP/25-26/30</t>
  </si>
  <si>
    <t>PI</t>
  </si>
  <si>
    <t>Sri Ram Narayan Singh Memorial High School</t>
  </si>
  <si>
    <t>Lauch Pad</t>
  </si>
  <si>
    <t>TinkRbot</t>
  </si>
  <si>
    <t>T Explorer</t>
  </si>
  <si>
    <t>Kautilya</t>
  </si>
  <si>
    <t>01st July 2025 to 31st march 2026</t>
  </si>
  <si>
    <t xml:space="preserve">Kalaberia </t>
  </si>
  <si>
    <t>Hariyana International Academy - Class 3 &amp; 4</t>
  </si>
  <si>
    <t>Before Comm of Course</t>
  </si>
  <si>
    <t>Hariyana International Academy - Class 2 - 7</t>
  </si>
  <si>
    <t>National Gems Higher Secondary School</t>
  </si>
  <si>
    <t>July</t>
  </si>
  <si>
    <t>MTPL/UP/25-26/41</t>
  </si>
  <si>
    <t>MTPL/UP/25-26/42</t>
  </si>
  <si>
    <t>Uttar Pradesh</t>
  </si>
  <si>
    <t>Meerut</t>
  </si>
  <si>
    <t>yes</t>
  </si>
  <si>
    <t>Pending</t>
  </si>
  <si>
    <t>B I T Global School</t>
  </si>
  <si>
    <t>No of student</t>
  </si>
  <si>
    <t>Selling Price</t>
  </si>
  <si>
    <t>Discount @20%</t>
  </si>
  <si>
    <t>1st Installment 25%</t>
  </si>
  <si>
    <t xml:space="preserve">Total Amount </t>
  </si>
  <si>
    <t>TINKRSPHERE ACADEMY,</t>
  </si>
  <si>
    <t>MTPL/UP/25-26/45</t>
  </si>
  <si>
    <t>St. Paul's Boarding And Day School</t>
  </si>
  <si>
    <t>Swarnim International  School</t>
  </si>
  <si>
    <t>St. Montfort's Senior Secondary School</t>
  </si>
  <si>
    <t>Loreto Day School, Bow Bazar-Kolkata</t>
  </si>
  <si>
    <t>PI No.</t>
  </si>
  <si>
    <t>MTPL/UP/2526/18</t>
  </si>
  <si>
    <t>MTPL/UP/2526/19</t>
  </si>
  <si>
    <t>MTPL/UP/2526/20</t>
  </si>
  <si>
    <t>MTPL/UP/2526/22</t>
  </si>
  <si>
    <t>MTPL/UP/2526/21</t>
  </si>
  <si>
    <t>MTPL/UP/2526/25</t>
  </si>
  <si>
    <t>MTPL/UP/2526/26</t>
  </si>
  <si>
    <t>MTPL/UP/2526/27</t>
  </si>
  <si>
    <t>RBSM Public School</t>
  </si>
  <si>
    <t>MTPL/UP/2526/29</t>
  </si>
  <si>
    <t>MTPL/UP/2526/30</t>
  </si>
  <si>
    <t>MTPL/UP/2526/37</t>
  </si>
  <si>
    <t>MTPL/UP/2526/36</t>
  </si>
  <si>
    <t>MTPL/UP/2526/39</t>
  </si>
  <si>
    <t>MTPL/UP/2526/43</t>
  </si>
  <si>
    <t>MTPL/UP/2526/44</t>
  </si>
  <si>
    <t>MTPL/UP/2526/45</t>
  </si>
  <si>
    <t>MTPL/UP/2526/46</t>
  </si>
  <si>
    <t>MTPL/UP/2526/47</t>
  </si>
  <si>
    <t>MTPL/UP/2526/48</t>
  </si>
  <si>
    <t>MTPL/UP/2526/49</t>
  </si>
  <si>
    <t>MTPL/UP/2526/50</t>
  </si>
  <si>
    <t>Frank Public School</t>
  </si>
  <si>
    <t>Yes</t>
  </si>
  <si>
    <t>Discount</t>
  </si>
  <si>
    <t>MTPL/UP/25-26/37</t>
  </si>
  <si>
    <t>MTPL/UP/25-26/50</t>
  </si>
  <si>
    <t>BIT Global  TDS Working</t>
  </si>
  <si>
    <t>No of Student</t>
  </si>
  <si>
    <t>Without GST Selling cost (a)</t>
  </si>
  <si>
    <t>Add Gst @18% (b)</t>
  </si>
  <si>
    <t>C</t>
  </si>
  <si>
    <t>Performa Invoice Value</t>
  </si>
  <si>
    <t>1st Installment @25% on (a)</t>
  </si>
  <si>
    <t>2nd Installment @25% on(a)</t>
  </si>
  <si>
    <t>Total PI Amount</t>
  </si>
  <si>
    <t>Net Receivable</t>
  </si>
  <si>
    <t>Balance receivable</t>
  </si>
  <si>
    <t>Less :TDS @2%</t>
  </si>
  <si>
    <t>Add :GST @18%</t>
  </si>
  <si>
    <t>Less :Advance received</t>
  </si>
  <si>
    <t>Total selling cost incl. 18% GST</t>
  </si>
  <si>
    <t>Selling Cost per student incl tax</t>
  </si>
  <si>
    <t>Modern High School International</t>
  </si>
  <si>
    <t>MTPL/UP/2526/52</t>
  </si>
  <si>
    <t>PI NO</t>
  </si>
  <si>
    <t>MTPL/UP/2526/09</t>
  </si>
  <si>
    <t>GR International School</t>
  </si>
  <si>
    <t>Mhendragadh</t>
  </si>
  <si>
    <t>The Scottish Church Collegiate School</t>
  </si>
  <si>
    <t>01st August 2025 to 31st march 2026</t>
  </si>
  <si>
    <t>01st January 2026 to 31st December 2026</t>
  </si>
  <si>
    <t xml:space="preserve">B I T Global School </t>
  </si>
  <si>
    <t>Aug</t>
  </si>
  <si>
    <t>MTPL/UP/25-26/63</t>
  </si>
  <si>
    <t>MTPL/UP/25-26/62</t>
  </si>
  <si>
    <t>MTPL/UP/25-26/64</t>
  </si>
  <si>
    <t>Credit Note</t>
  </si>
  <si>
    <t>Date</t>
  </si>
  <si>
    <t>Invoice  Value</t>
  </si>
  <si>
    <t>Net Payable</t>
  </si>
  <si>
    <t>For - 24-25</t>
  </si>
  <si>
    <t>For - 25-26 _ Total no of student -175</t>
  </si>
  <si>
    <t>Invoice No</t>
  </si>
  <si>
    <t>Credit Note No</t>
  </si>
  <si>
    <t>MTPL/UP/2526/08</t>
  </si>
  <si>
    <t>MTPL/CN/UP/2526/1</t>
  </si>
  <si>
    <t>MTPL/CN/UP/2526/2</t>
  </si>
  <si>
    <t>MTPL/UP/2425/16</t>
  </si>
  <si>
    <t>MTPL/UP/25-26/51</t>
  </si>
  <si>
    <t>MTPL/UP/25-26/68</t>
  </si>
  <si>
    <t>Rishi Aurobindo Memorial Academy</t>
  </si>
  <si>
    <t>MTPL/UP/25-26/70</t>
  </si>
  <si>
    <t>MTPL/UP/2526/55</t>
  </si>
  <si>
    <t>MTPL/UP/25-26/75</t>
  </si>
  <si>
    <t>9 Different Locations</t>
  </si>
  <si>
    <t>not mentioned In MOU</t>
  </si>
  <si>
    <t>Sep</t>
  </si>
  <si>
    <t>MTPL/UP/25-26/78</t>
  </si>
  <si>
    <t>MTPL/UP/25-26/79</t>
  </si>
  <si>
    <t>Stepping Stone Model School</t>
  </si>
  <si>
    <t>Alipurduar</t>
  </si>
  <si>
    <t>MTPL/UP/25-26/65</t>
  </si>
  <si>
    <t>Already raised</t>
  </si>
  <si>
    <t>To be raised</t>
  </si>
  <si>
    <t>100% Invoice done</t>
  </si>
  <si>
    <t>Payment Receive</t>
  </si>
  <si>
    <t>No</t>
  </si>
  <si>
    <t>Payment Received</t>
  </si>
  <si>
    <t>Partly Recd</t>
  </si>
  <si>
    <t>MTPL/UP/25-26/102</t>
  </si>
  <si>
    <t>Oct</t>
  </si>
  <si>
    <t>MTPL/UP/25-26/103</t>
  </si>
  <si>
    <t>MTPL/UP/25-26/113</t>
  </si>
  <si>
    <t>MTPL/UP/25-26/111</t>
  </si>
  <si>
    <t>MTPL/UP/25-26/112</t>
  </si>
  <si>
    <t>MTPL/UP/25-26/133</t>
  </si>
  <si>
    <t>MTPL/UP/25-26/134</t>
  </si>
  <si>
    <t>Nov</t>
  </si>
  <si>
    <t>MTPL/UP/25-26/141</t>
  </si>
  <si>
    <t>MTPL/UP/25-26/142</t>
  </si>
  <si>
    <t>MTPL/UP/25-26/146</t>
  </si>
  <si>
    <t>Payment Received &amp; billing done</t>
  </si>
  <si>
    <t>TDS Amount</t>
  </si>
  <si>
    <t>Balance Outstanding</t>
  </si>
  <si>
    <t>% Received</t>
  </si>
  <si>
    <t>Dec</t>
  </si>
  <si>
    <t>billing pending</t>
  </si>
  <si>
    <t>Sri R. N. Singh Memorial High School (For Class 8) - MTPL 14 RD</t>
  </si>
  <si>
    <t>Sri R. N. Singh Memorial High School - MTPL13/15</t>
  </si>
  <si>
    <t>Sales Representative</t>
  </si>
  <si>
    <t>Roveena</t>
  </si>
  <si>
    <t>Podar International School Howrah</t>
  </si>
  <si>
    <t>Shree Pralhadrao Kashid Foundation (Matoshree National School)</t>
  </si>
  <si>
    <t>Pune</t>
  </si>
  <si>
    <t>Maharashtra</t>
  </si>
  <si>
    <t>All amount Including GST</t>
  </si>
  <si>
    <t>Invoice not Raised &amp; Payment Received</t>
  </si>
  <si>
    <t>Invoice Raised &amp; Payment Received</t>
  </si>
  <si>
    <t>Invoice raised but payment not received</t>
  </si>
  <si>
    <t>Invoice not raised &amp; Payment not received</t>
  </si>
  <si>
    <t>Amount w/o GST</t>
  </si>
  <si>
    <t>Sales Amount w/o GST</t>
  </si>
  <si>
    <t>Add: Discount (Loreto House Kolkata)</t>
  </si>
  <si>
    <t>Drone workshop</t>
  </si>
  <si>
    <t>sahil</t>
  </si>
  <si>
    <t>Amt Recd in 26-27</t>
  </si>
  <si>
    <t>TDS 26-27</t>
  </si>
  <si>
    <t>Nabi Crescent School</t>
  </si>
  <si>
    <t>Balu R</t>
  </si>
  <si>
    <t>Avadi</t>
  </si>
  <si>
    <t>Tamil Nadu</t>
  </si>
  <si>
    <t>Mustafa Matric School</t>
  </si>
  <si>
    <t>Chidambaram</t>
  </si>
  <si>
    <t>PGIS Chennai</t>
  </si>
  <si>
    <t>Chennai</t>
  </si>
  <si>
    <t>*Sagaya Matha Matriculation Higher Secondary School</t>
  </si>
  <si>
    <t>As per email from Balu R</t>
  </si>
  <si>
    <t>Sri Vidhya Nikethan Matriculation School</t>
  </si>
  <si>
    <t>Ebenezer Jaganath Matriculation</t>
  </si>
  <si>
    <t>pending</t>
  </si>
  <si>
    <t>Ebenezer Modern Matriculation</t>
  </si>
  <si>
    <t>Kirti Book Agency (Empros International School _Chinchwad, Pune)</t>
  </si>
  <si>
    <t>as per Email from Suresh</t>
  </si>
  <si>
    <t>01st June 2025 to 31st march 2026</t>
  </si>
  <si>
    <t>Chinchwad</t>
  </si>
  <si>
    <t>Kirti Book Agency (Empros International School _Talegaon)</t>
  </si>
  <si>
    <t>Talegaon</t>
  </si>
  <si>
    <t>Tip Top Convent School</t>
  </si>
  <si>
    <t xml:space="preserve">As per email from Nilabhra </t>
  </si>
  <si>
    <t>Nagpur</t>
  </si>
  <si>
    <t>Discoveri Okas School</t>
  </si>
  <si>
    <t>GSL sign Pending</t>
  </si>
  <si>
    <t>Hyderabad</t>
  </si>
  <si>
    <t>Telangana</t>
  </si>
  <si>
    <t>Sri Vaishnavi School</t>
  </si>
  <si>
    <t xml:space="preserve">Bolton School </t>
  </si>
  <si>
    <t>Secunderabad</t>
  </si>
  <si>
    <t xml:space="preserve">Clever Minds School </t>
  </si>
  <si>
    <t>Secuderabad</t>
  </si>
  <si>
    <t>50%(comm of teacher training)</t>
  </si>
  <si>
    <t>ISRO Competition</t>
  </si>
  <si>
    <t>Secunderabad Public School/St.Ann's Grammar School</t>
  </si>
  <si>
    <t xml:space="preserve">Bright Future High School </t>
  </si>
  <si>
    <t xml:space="preserve">Navi Mumbai </t>
  </si>
  <si>
    <t>Darshan Academy, Devlali</t>
  </si>
  <si>
    <t>not mentioned in MOU</t>
  </si>
  <si>
    <t>Nashik</t>
  </si>
  <si>
    <t>dec</t>
  </si>
  <si>
    <t>Jan</t>
  </si>
  <si>
    <t>Darshan Academy, Pune</t>
  </si>
  <si>
    <t>as per mail</t>
  </si>
  <si>
    <t>Shivam Eduactional Academy_Indraprastha</t>
  </si>
  <si>
    <t>Raipur</t>
  </si>
  <si>
    <t>Chhatisgarh</t>
  </si>
  <si>
    <t>40 per batch</t>
  </si>
  <si>
    <t>15th Aug</t>
  </si>
  <si>
    <t>Shivam Eduactional Academy_Bhatagaon</t>
  </si>
  <si>
    <t>St. Xavier's Sr. Sec. School</t>
  </si>
  <si>
    <t>Don Bosco Matric Higher Secondary School</t>
  </si>
  <si>
    <t>Bengaluru</t>
  </si>
  <si>
    <t>Karnataka</t>
  </si>
  <si>
    <t>Pratik</t>
  </si>
  <si>
    <t>Nilabhra</t>
  </si>
  <si>
    <t>Sales as per Books of Accounts Total</t>
  </si>
  <si>
    <t>*Sale Recorded after 31st march 26 (already included above)</t>
  </si>
  <si>
    <t>Total</t>
  </si>
  <si>
    <t>Name</t>
  </si>
  <si>
    <t>Ranotosh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</si>
</sst>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_ * #,##0_ ;_ * \-#,##0_ ;_ * &quot;-&quot;??_ ;_ @_ "/>
  </numFmts>
  <fonts count="1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134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ptos"/>
      <family val="2"/>
    </font>
    <font>
      <u/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5" fillId="0" borderId="0"/>
  </cellStyleXfs>
  <cellXfs count="317">
    <xf numFmtId="0" fontId="0" fillId="0" borderId="0" xfId="0"/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/>
    <xf numFmtId="0" fontId="7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6" fillId="0" borderId="1" xfId="3" applyNumberFormat="1" applyFont="1" applyFill="1" applyBorder="1"/>
    <xf numFmtId="2" fontId="6" fillId="0" borderId="1" xfId="0" applyNumberFormat="1" applyFont="1" applyBorder="1"/>
    <xf numFmtId="165" fontId="6" fillId="0" borderId="1" xfId="3" applyNumberFormat="1" applyFont="1" applyFill="1" applyBorder="1"/>
    <xf numFmtId="0" fontId="9" fillId="0" borderId="1" xfId="3" applyNumberFormat="1" applyFont="1" applyFill="1" applyBorder="1"/>
    <xf numFmtId="9" fontId="6" fillId="0" borderId="1" xfId="2" applyFont="1" applyFill="1" applyBorder="1"/>
    <xf numFmtId="165" fontId="6" fillId="0" borderId="1" xfId="3" applyNumberFormat="1" applyFont="1" applyFill="1" applyBorder="1" applyAlignment="1">
      <alignment horizontal="center"/>
    </xf>
    <xf numFmtId="20" fontId="6" fillId="0" borderId="0" xfId="0" applyNumberFormat="1" applyFont="1"/>
    <xf numFmtId="165" fontId="6" fillId="0" borderId="0" xfId="0" applyNumberFormat="1" applyFont="1"/>
    <xf numFmtId="43" fontId="6" fillId="0" borderId="0" xfId="0" applyNumberFormat="1" applyFont="1"/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43" fontId="6" fillId="0" borderId="1" xfId="1" applyFont="1" applyFill="1" applyBorder="1"/>
    <xf numFmtId="0" fontId="6" fillId="0" borderId="0" xfId="0" applyFont="1" applyAlignment="1">
      <alignment horizontal="center"/>
    </xf>
    <xf numFmtId="14" fontId="6" fillId="0" borderId="1" xfId="3" quotePrefix="1" applyNumberFormat="1" applyFont="1" applyFill="1" applyBorder="1"/>
    <xf numFmtId="165" fontId="6" fillId="0" borderId="1" xfId="3" quotePrefix="1" applyNumberFormat="1" applyFont="1" applyFill="1" applyBorder="1"/>
    <xf numFmtId="165" fontId="6" fillId="0" borderId="0" xfId="3" applyNumberFormat="1" applyFont="1" applyFill="1" applyBorder="1"/>
    <xf numFmtId="9" fontId="6" fillId="0" borderId="0" xfId="2" applyFont="1" applyFill="1" applyBorder="1"/>
    <xf numFmtId="166" fontId="6" fillId="0" borderId="0" xfId="1" applyNumberFormat="1" applyFont="1"/>
    <xf numFmtId="166" fontId="6" fillId="0" borderId="0" xfId="0" applyNumberFormat="1" applyFont="1"/>
    <xf numFmtId="0" fontId="6" fillId="0" borderId="0" xfId="0" applyFont="1" applyAlignment="1">
      <alignment horizontal="center" vertical="center"/>
    </xf>
    <xf numFmtId="0" fontId="6" fillId="6" borderId="1" xfId="0" applyFont="1" applyFill="1" applyBorder="1"/>
    <xf numFmtId="2" fontId="6" fillId="0" borderId="1" xfId="3" applyNumberFormat="1" applyFont="1" applyFill="1" applyBorder="1"/>
    <xf numFmtId="0" fontId="6" fillId="0" borderId="1" xfId="0" applyFont="1" applyBorder="1" applyAlignment="1">
      <alignment horizontal="center"/>
    </xf>
    <xf numFmtId="165" fontId="6" fillId="6" borderId="1" xfId="3" applyNumberFormat="1" applyFont="1" applyFill="1" applyBorder="1"/>
    <xf numFmtId="164" fontId="6" fillId="6" borderId="1" xfId="3" applyFont="1" applyFill="1" applyBorder="1"/>
    <xf numFmtId="165" fontId="6" fillId="6" borderId="1" xfId="3" applyNumberFormat="1" applyFont="1" applyFill="1" applyBorder="1" applyAlignment="1">
      <alignment horizontal="center"/>
    </xf>
    <xf numFmtId="14" fontId="6" fillId="0" borderId="1" xfId="3" quotePrefix="1" applyNumberFormat="1" applyFont="1" applyFill="1" applyBorder="1" applyAlignment="1">
      <alignment horizontal="left"/>
    </xf>
    <xf numFmtId="14" fontId="6" fillId="6" borderId="1" xfId="3" quotePrefix="1" applyNumberFormat="1" applyFont="1" applyFill="1" applyBorder="1"/>
    <xf numFmtId="165" fontId="6" fillId="0" borderId="1" xfId="3" quotePrefix="1" applyNumberFormat="1" applyFont="1" applyFill="1" applyBorder="1" applyAlignment="1">
      <alignment horizontal="left"/>
    </xf>
    <xf numFmtId="0" fontId="11" fillId="0" borderId="1" xfId="0" applyFont="1" applyBorder="1"/>
    <xf numFmtId="0" fontId="7" fillId="0" borderId="1" xfId="0" applyFont="1" applyBorder="1" applyAlignment="1">
      <alignment horizontal="center"/>
    </xf>
    <xf numFmtId="0" fontId="0" fillId="0" borderId="1" xfId="0" applyBorder="1"/>
    <xf numFmtId="164" fontId="6" fillId="0" borderId="1" xfId="3" applyFont="1" applyFill="1" applyBorder="1"/>
    <xf numFmtId="0" fontId="8" fillId="0" borderId="0" xfId="0" applyFont="1" applyAlignment="1">
      <alignment horizontal="center"/>
    </xf>
    <xf numFmtId="0" fontId="6" fillId="6" borderId="1" xfId="0" applyFont="1" applyFill="1" applyBorder="1" applyAlignment="1">
      <alignment horizontal="center"/>
    </xf>
    <xf numFmtId="166" fontId="6" fillId="0" borderId="1" xfId="1" applyNumberFormat="1" applyFont="1" applyBorder="1"/>
    <xf numFmtId="166" fontId="6" fillId="0" borderId="1" xfId="1" applyNumberFormat="1" applyFont="1" applyFill="1" applyBorder="1"/>
    <xf numFmtId="10" fontId="6" fillId="0" borderId="1" xfId="2" applyNumberFormat="1" applyFont="1" applyFill="1" applyBorder="1"/>
    <xf numFmtId="0" fontId="5" fillId="0" borderId="1" xfId="3" applyNumberFormat="1" applyFont="1" applyFill="1" applyBorder="1"/>
    <xf numFmtId="43" fontId="6" fillId="0" borderId="1" xfId="1" applyFont="1" applyBorder="1"/>
    <xf numFmtId="165" fontId="6" fillId="7" borderId="1" xfId="3" applyNumberFormat="1" applyFont="1" applyFill="1" applyBorder="1"/>
    <xf numFmtId="17" fontId="6" fillId="0" borderId="0" xfId="2" applyNumberFormat="1" applyFont="1" applyFill="1" applyBorder="1"/>
    <xf numFmtId="165" fontId="6" fillId="0" borderId="0" xfId="3" quotePrefix="1" applyNumberFormat="1" applyFont="1" applyFill="1" applyBorder="1"/>
    <xf numFmtId="165" fontId="7" fillId="0" borderId="1" xfId="3" applyNumberFormat="1" applyFont="1" applyFill="1" applyBorder="1"/>
    <xf numFmtId="20" fontId="6" fillId="0" borderId="1" xfId="0" applyNumberFormat="1" applyFont="1" applyBorder="1"/>
    <xf numFmtId="0" fontId="7" fillId="0" borderId="1" xfId="0" applyFont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wrapText="1"/>
    </xf>
    <xf numFmtId="0" fontId="6" fillId="0" borderId="1" xfId="0" applyFont="1" applyBorder="1" applyAlignment="1">
      <alignment wrapText="1"/>
    </xf>
    <xf numFmtId="9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65" fontId="6" fillId="0" borderId="1" xfId="3" quotePrefix="1" applyNumberFormat="1" applyFont="1" applyFill="1" applyBorder="1" applyAlignment="1">
      <alignment horizontal="center"/>
    </xf>
    <xf numFmtId="0" fontId="5" fillId="0" borderId="1" xfId="0" applyFont="1" applyBorder="1"/>
    <xf numFmtId="165" fontId="6" fillId="0" borderId="1" xfId="0" applyNumberFormat="1" applyFont="1" applyBorder="1"/>
    <xf numFmtId="10" fontId="6" fillId="0" borderId="0" xfId="2" applyNumberFormat="1" applyFont="1"/>
    <xf numFmtId="2" fontId="6" fillId="0" borderId="1" xfId="1" applyNumberFormat="1" applyFont="1" applyFill="1" applyBorder="1"/>
    <xf numFmtId="9" fontId="6" fillId="7" borderId="1" xfId="2" applyFont="1" applyFill="1" applyBorder="1"/>
    <xf numFmtId="0" fontId="6" fillId="0" borderId="1" xfId="1" applyNumberFormat="1" applyFont="1" applyFill="1" applyBorder="1"/>
    <xf numFmtId="0" fontId="6" fillId="0" borderId="0" xfId="0" applyFont="1" applyAlignment="1">
      <alignment wrapText="1"/>
    </xf>
    <xf numFmtId="165" fontId="6" fillId="0" borderId="0" xfId="3" applyNumberFormat="1" applyFont="1" applyFill="1" applyBorder="1" applyAlignment="1">
      <alignment horizontal="center"/>
    </xf>
    <xf numFmtId="165" fontId="6" fillId="0" borderId="0" xfId="3" quotePrefix="1" applyNumberFormat="1" applyFont="1" applyFill="1" applyBorder="1" applyAlignment="1">
      <alignment horizontal="left"/>
    </xf>
    <xf numFmtId="10" fontId="6" fillId="0" borderId="0" xfId="2" applyNumberFormat="1" applyFont="1" applyFill="1" applyBorder="1"/>
    <xf numFmtId="14" fontId="6" fillId="0" borderId="0" xfId="3" quotePrefix="1" applyNumberFormat="1" applyFont="1" applyFill="1" applyBorder="1" applyAlignment="1">
      <alignment horizontal="left"/>
    </xf>
    <xf numFmtId="165" fontId="6" fillId="0" borderId="4" xfId="3" applyNumberFormat="1" applyFont="1" applyFill="1" applyBorder="1"/>
    <xf numFmtId="0" fontId="6" fillId="0" borderId="6" xfId="0" applyFont="1" applyBorder="1"/>
    <xf numFmtId="165" fontId="6" fillId="0" borderId="2" xfId="3" applyNumberFormat="1" applyFont="1" applyFill="1" applyBorder="1"/>
    <xf numFmtId="0" fontId="6" fillId="8" borderId="1" xfId="0" applyFont="1" applyFill="1" applyBorder="1"/>
    <xf numFmtId="0" fontId="12" fillId="6" borderId="1" xfId="0" applyFont="1" applyFill="1" applyBorder="1"/>
    <xf numFmtId="166" fontId="0" fillId="0" borderId="1" xfId="1" applyNumberFormat="1" applyFont="1" applyBorder="1"/>
    <xf numFmtId="0" fontId="6" fillId="0" borderId="1" xfId="0" applyFont="1" applyBorder="1" applyAlignment="1">
      <alignment horizontal="right"/>
    </xf>
    <xf numFmtId="43" fontId="6" fillId="0" borderId="1" xfId="1" applyFont="1" applyBorder="1" applyAlignment="1">
      <alignment horizontal="right"/>
    </xf>
    <xf numFmtId="166" fontId="6" fillId="0" borderId="1" xfId="1" applyNumberFormat="1" applyFont="1" applyBorder="1" applyAlignment="1">
      <alignment horizontal="right"/>
    </xf>
    <xf numFmtId="164" fontId="6" fillId="0" borderId="0" xfId="3" applyFont="1" applyFill="1" applyBorder="1"/>
    <xf numFmtId="0" fontId="12" fillId="0" borderId="1" xfId="0" applyFont="1" applyBorder="1"/>
    <xf numFmtId="9" fontId="6" fillId="0" borderId="1" xfId="0" applyNumberFormat="1" applyFont="1" applyBorder="1"/>
    <xf numFmtId="17" fontId="6" fillId="0" borderId="1" xfId="0" applyNumberFormat="1" applyFont="1" applyBorder="1"/>
    <xf numFmtId="0" fontId="0" fillId="0" borderId="7" xfId="0" applyBorder="1"/>
    <xf numFmtId="43" fontId="0" fillId="0" borderId="0" xfId="1" applyFont="1"/>
    <xf numFmtId="43" fontId="0" fillId="0" borderId="7" xfId="1" applyFont="1" applyBorder="1"/>
    <xf numFmtId="43" fontId="13" fillId="0" borderId="0" xfId="1" applyFont="1"/>
    <xf numFmtId="0" fontId="4" fillId="0" borderId="0" xfId="0" applyFont="1"/>
    <xf numFmtId="0" fontId="4" fillId="0" borderId="0" xfId="0" quotePrefix="1" applyFont="1"/>
    <xf numFmtId="0" fontId="4" fillId="0" borderId="0" xfId="0" applyFont="1" applyAlignment="1">
      <alignment horizontal="right"/>
    </xf>
    <xf numFmtId="43" fontId="0" fillId="0" borderId="0" xfId="0" applyNumberFormat="1"/>
    <xf numFmtId="166" fontId="0" fillId="0" borderId="0" xfId="0" applyNumberFormat="1"/>
    <xf numFmtId="0" fontId="13" fillId="0" borderId="0" xfId="0" applyFont="1"/>
    <xf numFmtId="0" fontId="13" fillId="0" borderId="1" xfId="0" applyFont="1" applyBorder="1"/>
    <xf numFmtId="43" fontId="13" fillId="0" borderId="1" xfId="0" applyNumberFormat="1" applyFont="1" applyBorder="1"/>
    <xf numFmtId="43" fontId="0" fillId="0" borderId="9" xfId="0" applyNumberFormat="1" applyBorder="1"/>
    <xf numFmtId="43" fontId="0" fillId="0" borderId="10" xfId="0" applyNumberFormat="1" applyBorder="1"/>
    <xf numFmtId="43" fontId="13" fillId="0" borderId="11" xfId="0" applyNumberFormat="1" applyFont="1" applyBorder="1"/>
    <xf numFmtId="0" fontId="0" fillId="0" borderId="2" xfId="0" applyBorder="1"/>
    <xf numFmtId="0" fontId="4" fillId="0" borderId="12" xfId="0" applyFont="1" applyBorder="1"/>
    <xf numFmtId="0" fontId="13" fillId="0" borderId="12" xfId="0" applyFont="1" applyBorder="1"/>
    <xf numFmtId="0" fontId="4" fillId="0" borderId="3" xfId="0" applyFont="1" applyBorder="1"/>
    <xf numFmtId="0" fontId="4" fillId="0" borderId="7" xfId="0" applyFont="1" applyBorder="1"/>
    <xf numFmtId="0" fontId="4" fillId="0" borderId="8" xfId="0" applyFont="1" applyBorder="1"/>
    <xf numFmtId="166" fontId="0" fillId="0" borderId="8" xfId="1" applyNumberFormat="1" applyFont="1" applyBorder="1"/>
    <xf numFmtId="166" fontId="13" fillId="0" borderId="0" xfId="1" applyNumberFormat="1" applyFont="1"/>
    <xf numFmtId="43" fontId="0" fillId="0" borderId="12" xfId="0" applyNumberFormat="1" applyBorder="1"/>
    <xf numFmtId="43" fontId="0" fillId="0" borderId="3" xfId="0" applyNumberFormat="1" applyBorder="1"/>
    <xf numFmtId="0" fontId="13" fillId="0" borderId="6" xfId="0" applyFont="1" applyBorder="1"/>
    <xf numFmtId="0" fontId="7" fillId="2" borderId="4" xfId="0" applyFont="1" applyFill="1" applyBorder="1" applyAlignment="1">
      <alignment horizontal="center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9" fontId="6" fillId="0" borderId="0" xfId="0" applyNumberFormat="1" applyFont="1" applyAlignment="1">
      <alignment vertical="center" wrapText="1"/>
    </xf>
    <xf numFmtId="166" fontId="6" fillId="0" borderId="0" xfId="1" applyNumberFormat="1" applyFont="1" applyBorder="1"/>
    <xf numFmtId="166" fontId="0" fillId="0" borderId="0" xfId="1" applyNumberFormat="1" applyFont="1" applyBorder="1" applyAlignment="1">
      <alignment vertical="top"/>
    </xf>
    <xf numFmtId="0" fontId="6" fillId="0" borderId="1" xfId="0" quotePrefix="1" applyFont="1" applyBorder="1"/>
    <xf numFmtId="0" fontId="6" fillId="0" borderId="1" xfId="2" applyNumberFormat="1" applyFont="1" applyFill="1" applyBorder="1"/>
    <xf numFmtId="14" fontId="6" fillId="0" borderId="0" xfId="3" quotePrefix="1" applyNumberFormat="1" applyFont="1" applyFill="1" applyBorder="1"/>
    <xf numFmtId="43" fontId="6" fillId="0" borderId="0" xfId="1" applyFont="1"/>
    <xf numFmtId="14" fontId="0" fillId="0" borderId="1" xfId="0" applyNumberFormat="1" applyBorder="1"/>
    <xf numFmtId="0" fontId="3" fillId="0" borderId="1" xfId="0" applyFont="1" applyBorder="1"/>
    <xf numFmtId="14" fontId="3" fillId="0" borderId="1" xfId="0" applyNumberFormat="1" applyFont="1" applyBorder="1"/>
    <xf numFmtId="166" fontId="3" fillId="0" borderId="1" xfId="1" applyNumberFormat="1" applyFont="1" applyBorder="1"/>
    <xf numFmtId="166" fontId="6" fillId="0" borderId="0" xfId="1" applyNumberFormat="1" applyFont="1" applyFill="1" applyBorder="1"/>
    <xf numFmtId="165" fontId="6" fillId="7" borderId="1" xfId="3" applyNumberFormat="1" applyFont="1" applyFill="1" applyBorder="1" applyAlignment="1">
      <alignment horizontal="center"/>
    </xf>
    <xf numFmtId="14" fontId="6" fillId="7" borderId="1" xfId="3" quotePrefix="1" applyNumberFormat="1" applyFont="1" applyFill="1" applyBorder="1"/>
    <xf numFmtId="165" fontId="6" fillId="7" borderId="1" xfId="3" quotePrefix="1" applyNumberFormat="1" applyFont="1" applyFill="1" applyBorder="1"/>
    <xf numFmtId="165" fontId="6" fillId="7" borderId="1" xfId="3" quotePrefix="1" applyNumberFormat="1" applyFont="1" applyFill="1" applyBorder="1" applyAlignment="1">
      <alignment horizontal="left"/>
    </xf>
    <xf numFmtId="14" fontId="6" fillId="7" borderId="1" xfId="3" quotePrefix="1" applyNumberFormat="1" applyFont="1" applyFill="1" applyBorder="1" applyAlignment="1">
      <alignment horizontal="left"/>
    </xf>
    <xf numFmtId="0" fontId="6" fillId="7" borderId="1" xfId="0" quotePrefix="1" applyFont="1" applyFill="1" applyBorder="1"/>
    <xf numFmtId="0" fontId="6" fillId="0" borderId="0" xfId="0" quotePrefix="1" applyFont="1"/>
    <xf numFmtId="9" fontId="6" fillId="0" borderId="0" xfId="0" applyNumberFormat="1" applyFont="1"/>
    <xf numFmtId="20" fontId="6" fillId="7" borderId="1" xfId="0" applyNumberFormat="1" applyFont="1" applyFill="1" applyBorder="1"/>
    <xf numFmtId="0" fontId="6" fillId="0" borderId="6" xfId="0" applyFont="1" applyBorder="1" applyAlignment="1">
      <alignment horizontal="center"/>
    </xf>
    <xf numFmtId="0" fontId="6" fillId="9" borderId="0" xfId="0" applyFont="1" applyFill="1"/>
    <xf numFmtId="0" fontId="6" fillId="10" borderId="0" xfId="0" applyFont="1" applyFill="1"/>
    <xf numFmtId="0" fontId="6" fillId="11" borderId="0" xfId="0" applyFont="1" applyFill="1"/>
    <xf numFmtId="0" fontId="6" fillId="8" borderId="1" xfId="0" applyFont="1" applyFill="1" applyBorder="1" applyAlignment="1">
      <alignment horizontal="center"/>
    </xf>
    <xf numFmtId="165" fontId="6" fillId="8" borderId="1" xfId="3" applyNumberFormat="1" applyFont="1" applyFill="1" applyBorder="1"/>
    <xf numFmtId="9" fontId="6" fillId="8" borderId="1" xfId="2" applyFont="1" applyFill="1" applyBorder="1"/>
    <xf numFmtId="165" fontId="6" fillId="0" borderId="3" xfId="3" applyNumberFormat="1" applyFont="1" applyFill="1" applyBorder="1"/>
    <xf numFmtId="2" fontId="6" fillId="0" borderId="0" xfId="0" applyNumberFormat="1" applyFont="1"/>
    <xf numFmtId="17" fontId="6" fillId="7" borderId="1" xfId="0" quotePrefix="1" applyNumberFormat="1" applyFont="1" applyFill="1" applyBorder="1" applyAlignment="1">
      <alignment horizontal="left"/>
    </xf>
    <xf numFmtId="0" fontId="6" fillId="7" borderId="0" xfId="0" applyFont="1" applyFill="1"/>
    <xf numFmtId="0" fontId="7" fillId="0" borderId="4" xfId="0" applyFont="1" applyBorder="1" applyAlignment="1">
      <alignment horizontal="center" vertical="center" wrapText="1"/>
    </xf>
    <xf numFmtId="165" fontId="6" fillId="0" borderId="4" xfId="3" applyNumberFormat="1" applyFont="1" applyFill="1" applyBorder="1" applyAlignment="1">
      <alignment horizontal="center"/>
    </xf>
    <xf numFmtId="9" fontId="6" fillId="7" borderId="6" xfId="2" applyFont="1" applyFill="1" applyBorder="1"/>
    <xf numFmtId="9" fontId="6" fillId="0" borderId="6" xfId="2" applyFont="1" applyFill="1" applyBorder="1"/>
    <xf numFmtId="0" fontId="7" fillId="3" borderId="6" xfId="0" applyFont="1" applyFill="1" applyBorder="1" applyAlignment="1">
      <alignment horizontal="center" vertical="center" wrapText="1"/>
    </xf>
    <xf numFmtId="165" fontId="6" fillId="0" borderId="6" xfId="3" applyNumberFormat="1" applyFont="1" applyFill="1" applyBorder="1" applyAlignment="1">
      <alignment horizontal="center"/>
    </xf>
    <xf numFmtId="165" fontId="6" fillId="0" borderId="6" xfId="3" applyNumberFormat="1" applyFont="1" applyFill="1" applyBorder="1"/>
    <xf numFmtId="9" fontId="6" fillId="0" borderId="6" xfId="0" applyNumberFormat="1" applyFont="1" applyBorder="1"/>
    <xf numFmtId="9" fontId="6" fillId="0" borderId="1" xfId="2" applyFont="1" applyFill="1" applyBorder="1" applyAlignment="1">
      <alignment horizontal="center"/>
    </xf>
    <xf numFmtId="9" fontId="6" fillId="7" borderId="1" xfId="2" applyFont="1" applyFill="1" applyBorder="1" applyAlignment="1">
      <alignment horizontal="center"/>
    </xf>
    <xf numFmtId="9" fontId="6" fillId="0" borderId="1" xfId="2" applyFont="1" applyBorder="1"/>
    <xf numFmtId="166" fontId="6" fillId="0" borderId="4" xfId="1" applyNumberFormat="1" applyFont="1" applyFill="1" applyBorder="1" applyAlignment="1">
      <alignment horizontal="center"/>
    </xf>
    <xf numFmtId="166" fontId="6" fillId="7" borderId="4" xfId="1" applyNumberFormat="1" applyFont="1" applyFill="1" applyBorder="1" applyAlignment="1">
      <alignment horizontal="center"/>
    </xf>
    <xf numFmtId="166" fontId="6" fillId="0" borderId="4" xfId="1" applyNumberFormat="1" applyFont="1" applyFill="1" applyBorder="1"/>
    <xf numFmtId="166" fontId="6" fillId="8" borderId="4" xfId="1" applyNumberFormat="1" applyFont="1" applyFill="1" applyBorder="1"/>
    <xf numFmtId="166" fontId="6" fillId="0" borderId="4" xfId="1" applyNumberFormat="1" applyFont="1" applyBorder="1"/>
    <xf numFmtId="166" fontId="6" fillId="8" borderId="1" xfId="1" applyNumberFormat="1" applyFont="1" applyFill="1" applyBorder="1"/>
    <xf numFmtId="166" fontId="6" fillId="0" borderId="1" xfId="1" applyNumberFormat="1" applyFont="1" applyFill="1" applyBorder="1" applyAlignment="1">
      <alignment horizontal="center"/>
    </xf>
    <xf numFmtId="9" fontId="6" fillId="7" borderId="6" xfId="0" applyNumberFormat="1" applyFont="1" applyFill="1" applyBorder="1"/>
    <xf numFmtId="165" fontId="7" fillId="9" borderId="1" xfId="3" applyNumberFormat="1" applyFont="1" applyFill="1" applyBorder="1" applyAlignment="1">
      <alignment horizontal="center"/>
    </xf>
    <xf numFmtId="165" fontId="7" fillId="9" borderId="1" xfId="3" quotePrefix="1" applyNumberFormat="1" applyFont="1" applyFill="1" applyBorder="1"/>
    <xf numFmtId="9" fontId="7" fillId="9" borderId="1" xfId="2" applyFont="1" applyFill="1" applyBorder="1"/>
    <xf numFmtId="0" fontId="7" fillId="0" borderId="1" xfId="3" applyNumberFormat="1" applyFont="1" applyFill="1" applyBorder="1"/>
    <xf numFmtId="0" fontId="14" fillId="0" borderId="1" xfId="3" applyNumberFormat="1" applyFont="1" applyFill="1" applyBorder="1"/>
    <xf numFmtId="166" fontId="7" fillId="0" borderId="1" xfId="1" applyNumberFormat="1" applyFont="1" applyFill="1" applyBorder="1"/>
    <xf numFmtId="0" fontId="13" fillId="0" borderId="1" xfId="3" applyNumberFormat="1" applyFont="1" applyFill="1" applyBorder="1"/>
    <xf numFmtId="0" fontId="7" fillId="0" borderId="1" xfId="0" applyFont="1" applyBorder="1"/>
    <xf numFmtId="0" fontId="7" fillId="8" borderId="1" xfId="0" applyFont="1" applyFill="1" applyBorder="1"/>
    <xf numFmtId="165" fontId="6" fillId="7" borderId="1" xfId="3" quotePrefix="1" applyNumberFormat="1" applyFont="1" applyFill="1" applyBorder="1" applyAlignment="1">
      <alignment horizontal="center"/>
    </xf>
    <xf numFmtId="9" fontId="7" fillId="7" borderId="6" xfId="2" applyFont="1" applyFill="1" applyBorder="1"/>
    <xf numFmtId="165" fontId="7" fillId="7" borderId="1" xfId="3" applyNumberFormat="1" applyFont="1" applyFill="1" applyBorder="1" applyAlignment="1">
      <alignment horizontal="center"/>
    </xf>
    <xf numFmtId="165" fontId="7" fillId="7" borderId="1" xfId="3" quotePrefix="1" applyNumberFormat="1" applyFont="1" applyFill="1" applyBorder="1"/>
    <xf numFmtId="165" fontId="7" fillId="9" borderId="1" xfId="3" applyNumberFormat="1" applyFont="1" applyFill="1" applyBorder="1"/>
    <xf numFmtId="9" fontId="7" fillId="9" borderId="6" xfId="2" applyFont="1" applyFill="1" applyBorder="1"/>
    <xf numFmtId="14" fontId="7" fillId="9" borderId="1" xfId="3" quotePrefix="1" applyNumberFormat="1" applyFont="1" applyFill="1" applyBorder="1" applyAlignment="1">
      <alignment horizontal="left"/>
    </xf>
    <xf numFmtId="14" fontId="7" fillId="9" borderId="1" xfId="3" quotePrefix="1" applyNumberFormat="1" applyFont="1" applyFill="1" applyBorder="1"/>
    <xf numFmtId="165" fontId="7" fillId="9" borderId="6" xfId="3" applyNumberFormat="1" applyFont="1" applyFill="1" applyBorder="1" applyAlignment="1">
      <alignment horizontal="center"/>
    </xf>
    <xf numFmtId="9" fontId="7" fillId="8" borderId="1" xfId="2" applyFont="1" applyFill="1" applyBorder="1"/>
    <xf numFmtId="165" fontId="7" fillId="8" borderId="1" xfId="3" applyNumberFormat="1" applyFont="1" applyFill="1" applyBorder="1"/>
    <xf numFmtId="14" fontId="7" fillId="8" borderId="1" xfId="3" quotePrefix="1" applyNumberFormat="1" applyFont="1" applyFill="1" applyBorder="1" applyAlignment="1">
      <alignment horizontal="left"/>
    </xf>
    <xf numFmtId="9" fontId="7" fillId="8" borderId="6" xfId="2" applyFont="1" applyFill="1" applyBorder="1"/>
    <xf numFmtId="165" fontId="7" fillId="8" borderId="1" xfId="3" quotePrefix="1" applyNumberFormat="1" applyFont="1" applyFill="1" applyBorder="1"/>
    <xf numFmtId="0" fontId="7" fillId="9" borderId="1" xfId="0" applyFont="1" applyFill="1" applyBorder="1"/>
    <xf numFmtId="165" fontId="7" fillId="7" borderId="1" xfId="3" applyNumberFormat="1" applyFont="1" applyFill="1" applyBorder="1"/>
    <xf numFmtId="165" fontId="7" fillId="7" borderId="1" xfId="3" quotePrefix="1" applyNumberFormat="1" applyFont="1" applyFill="1" applyBorder="1" applyAlignment="1">
      <alignment horizontal="left"/>
    </xf>
    <xf numFmtId="9" fontId="7" fillId="7" borderId="1" xfId="2" applyFont="1" applyFill="1" applyBorder="1"/>
    <xf numFmtId="165" fontId="7" fillId="7" borderId="1" xfId="3" quotePrefix="1" applyNumberFormat="1" applyFont="1" applyFill="1" applyBorder="1" applyAlignment="1">
      <alignment horizontal="center"/>
    </xf>
    <xf numFmtId="0" fontId="6" fillId="0" borderId="1" xfId="4" applyFont="1" applyBorder="1"/>
    <xf numFmtId="0" fontId="6" fillId="0" borderId="1" xfId="4" applyFont="1" applyBorder="1" applyAlignment="1">
      <alignment horizontal="center"/>
    </xf>
    <xf numFmtId="2" fontId="6" fillId="0" borderId="1" xfId="4" applyNumberFormat="1" applyFont="1" applyBorder="1"/>
    <xf numFmtId="0" fontId="6" fillId="0" borderId="0" xfId="4" applyFont="1"/>
    <xf numFmtId="17" fontId="6" fillId="7" borderId="1" xfId="4" quotePrefix="1" applyNumberFormat="1" applyFont="1" applyFill="1" applyBorder="1" applyAlignment="1">
      <alignment horizontal="left"/>
    </xf>
    <xf numFmtId="0" fontId="7" fillId="0" borderId="1" xfId="4" applyFont="1" applyBorder="1" applyAlignment="1">
      <alignment wrapText="1"/>
    </xf>
    <xf numFmtId="166" fontId="7" fillId="0" borderId="8" xfId="1" applyNumberFormat="1" applyFont="1" applyBorder="1"/>
    <xf numFmtId="0" fontId="7" fillId="4" borderId="8" xfId="4" applyFont="1" applyFill="1" applyBorder="1" applyAlignment="1">
      <alignment horizontal="right"/>
    </xf>
    <xf numFmtId="165" fontId="7" fillId="4" borderId="8" xfId="4" applyNumberFormat="1" applyFont="1" applyFill="1" applyBorder="1"/>
    <xf numFmtId="0" fontId="6" fillId="0" borderId="0" xfId="4" applyFont="1" applyAlignment="1">
      <alignment horizontal="right"/>
    </xf>
    <xf numFmtId="0" fontId="6" fillId="0" borderId="8" xfId="4" applyFont="1" applyBorder="1" applyAlignment="1">
      <alignment horizontal="right"/>
    </xf>
    <xf numFmtId="14" fontId="7" fillId="7" borderId="1" xfId="3" quotePrefix="1" applyNumberFormat="1" applyFont="1" applyFill="1" applyBorder="1" applyAlignment="1">
      <alignment horizontal="left"/>
    </xf>
    <xf numFmtId="20" fontId="7" fillId="7" borderId="1" xfId="0" applyNumberFormat="1" applyFont="1" applyFill="1" applyBorder="1"/>
    <xf numFmtId="0" fontId="7" fillId="7" borderId="1" xfId="0" applyFont="1" applyFill="1" applyBorder="1"/>
    <xf numFmtId="165" fontId="11" fillId="0" borderId="2" xfId="3" applyNumberFormat="1" applyFont="1" applyBorder="1" applyAlignment="1">
      <alignment horizontal="center"/>
    </xf>
    <xf numFmtId="165" fontId="11" fillId="0" borderId="12" xfId="3" applyNumberFormat="1" applyFont="1" applyBorder="1" applyAlignment="1">
      <alignment horizontal="center"/>
    </xf>
    <xf numFmtId="165" fontId="11" fillId="0" borderId="3" xfId="3" applyNumberFormat="1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15" fontId="6" fillId="0" borderId="1" xfId="0" quotePrefix="1" applyNumberFormat="1" applyFont="1" applyBorder="1" applyAlignment="1">
      <alignment horizontal="center"/>
    </xf>
    <xf numFmtId="9" fontId="7" fillId="9" borderId="1" xfId="0" applyNumberFormat="1" applyFont="1" applyFill="1" applyBorder="1"/>
    <xf numFmtId="165" fontId="7" fillId="0" borderId="4" xfId="3" applyNumberFormat="1" applyFont="1" applyFill="1" applyBorder="1"/>
    <xf numFmtId="165" fontId="7" fillId="0" borderId="0" xfId="3" applyNumberFormat="1" applyFont="1" applyFill="1" applyBorder="1"/>
    <xf numFmtId="15" fontId="6" fillId="0" borderId="1" xfId="0" applyNumberFormat="1" applyFont="1" applyBorder="1" applyAlignment="1">
      <alignment horizontal="center"/>
    </xf>
    <xf numFmtId="165" fontId="6" fillId="7" borderId="1" xfId="3" applyNumberFormat="1" applyFont="1" applyFill="1" applyBorder="1" applyAlignment="1">
      <alignment horizontal="left"/>
    </xf>
    <xf numFmtId="9" fontId="6" fillId="7" borderId="1" xfId="0" applyNumberFormat="1" applyFont="1" applyFill="1" applyBorder="1"/>
    <xf numFmtId="9" fontId="7" fillId="7" borderId="1" xfId="0" applyNumberFormat="1" applyFont="1" applyFill="1" applyBorder="1"/>
    <xf numFmtId="20" fontId="6" fillId="0" borderId="4" xfId="0" applyNumberFormat="1" applyFont="1" applyBorder="1"/>
    <xf numFmtId="0" fontId="6" fillId="0" borderId="4" xfId="0" applyFont="1" applyBorder="1"/>
    <xf numFmtId="0" fontId="6" fillId="12" borderId="1" xfId="0" applyFont="1" applyFill="1" applyBorder="1"/>
    <xf numFmtId="164" fontId="7" fillId="0" borderId="1" xfId="3" applyFont="1" applyFill="1" applyBorder="1"/>
    <xf numFmtId="0" fontId="16" fillId="0" borderId="1" xfId="0" applyFont="1" applyBorder="1"/>
    <xf numFmtId="164" fontId="7" fillId="7" borderId="1" xfId="3" applyFont="1" applyFill="1" applyBorder="1"/>
    <xf numFmtId="0" fontId="2" fillId="0" borderId="1" xfId="3" applyNumberFormat="1" applyFont="1" applyFill="1" applyBorder="1"/>
    <xf numFmtId="0" fontId="6" fillId="7" borderId="1" xfId="0" applyFont="1" applyFill="1" applyBorder="1"/>
    <xf numFmtId="165" fontId="6" fillId="0" borderId="4" xfId="3" quotePrefix="1" applyNumberFormat="1" applyFont="1" applyFill="1" applyBorder="1"/>
    <xf numFmtId="17" fontId="7" fillId="9" borderId="4" xfId="3" applyNumberFormat="1" applyFont="1" applyFill="1" applyBorder="1" applyAlignment="1">
      <alignment horizontal="center"/>
    </xf>
    <xf numFmtId="17" fontId="7" fillId="9" borderId="1" xfId="3" applyNumberFormat="1" applyFont="1" applyFill="1" applyBorder="1" applyAlignment="1">
      <alignment horizontal="center"/>
    </xf>
    <xf numFmtId="20" fontId="7" fillId="9" borderId="1" xfId="0" applyNumberFormat="1" applyFont="1" applyFill="1" applyBorder="1"/>
    <xf numFmtId="0" fontId="17" fillId="0" borderId="1" xfId="0" applyFont="1" applyBorder="1" applyAlignment="1">
      <alignment horizontal="center"/>
    </xf>
    <xf numFmtId="1" fontId="6" fillId="0" borderId="1" xfId="0" applyNumberFormat="1" applyFont="1" applyBorder="1"/>
    <xf numFmtId="20" fontId="6" fillId="9" borderId="1" xfId="0" applyNumberFormat="1" applyFont="1" applyFill="1" applyBorder="1"/>
    <xf numFmtId="14" fontId="6" fillId="0" borderId="1" xfId="0" applyNumberFormat="1" applyFont="1" applyBorder="1" applyAlignment="1">
      <alignment horizontal="center"/>
    </xf>
    <xf numFmtId="1" fontId="0" fillId="0" borderId="1" xfId="0" applyNumberFormat="1" applyBorder="1"/>
    <xf numFmtId="9" fontId="0" fillId="7" borderId="1" xfId="0" applyNumberFormat="1" applyFill="1" applyBorder="1"/>
    <xf numFmtId="1" fontId="6" fillId="7" borderId="1" xfId="0" applyNumberFormat="1" applyFont="1" applyFill="1" applyBorder="1"/>
    <xf numFmtId="165" fontId="6" fillId="7" borderId="1" xfId="0" applyNumberFormat="1" applyFont="1" applyFill="1" applyBorder="1"/>
    <xf numFmtId="0" fontId="0" fillId="7" borderId="1" xfId="0" applyFill="1" applyBorder="1"/>
    <xf numFmtId="9" fontId="0" fillId="0" borderId="1" xfId="0" applyNumberFormat="1" applyBorder="1"/>
    <xf numFmtId="0" fontId="0" fillId="0" borderId="4" xfId="0" applyBorder="1"/>
    <xf numFmtId="9" fontId="7" fillId="7" borderId="6" xfId="0" applyNumberFormat="1" applyFont="1" applyFill="1" applyBorder="1"/>
    <xf numFmtId="17" fontId="7" fillId="7" borderId="1" xfId="0" applyNumberFormat="1" applyFont="1" applyFill="1" applyBorder="1" applyAlignment="1">
      <alignment horizontal="left"/>
    </xf>
    <xf numFmtId="17" fontId="6" fillId="0" borderId="1" xfId="0" applyNumberFormat="1" applyFont="1" applyBorder="1" applyAlignment="1">
      <alignment horizontal="left"/>
    </xf>
    <xf numFmtId="17" fontId="6" fillId="0" borderId="0" xfId="0" applyNumberFormat="1" applyFont="1"/>
    <xf numFmtId="0" fontId="11" fillId="0" borderId="0" xfId="0" applyFont="1"/>
    <xf numFmtId="165" fontId="11" fillId="0" borderId="0" xfId="3" applyNumberFormat="1" applyFont="1"/>
    <xf numFmtId="9" fontId="6" fillId="0" borderId="1" xfId="4" applyNumberFormat="1" applyFont="1" applyBorder="1"/>
    <xf numFmtId="0" fontId="6" fillId="0" borderId="1" xfId="4" quotePrefix="1" applyFont="1" applyBorder="1"/>
    <xf numFmtId="17" fontId="6" fillId="0" borderId="1" xfId="4" applyNumberFormat="1" applyFont="1" applyBorder="1"/>
    <xf numFmtId="9" fontId="13" fillId="7" borderId="1" xfId="0" applyNumberFormat="1" applyFont="1" applyFill="1" applyBorder="1"/>
    <xf numFmtId="165" fontId="7" fillId="7" borderId="1" xfId="0" applyNumberFormat="1" applyFont="1" applyFill="1" applyBorder="1"/>
    <xf numFmtId="0" fontId="13" fillId="7" borderId="4" xfId="0" applyFont="1" applyFill="1" applyBorder="1"/>
    <xf numFmtId="0" fontId="18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9" fontId="6" fillId="0" borderId="0" xfId="2" applyFont="1" applyBorder="1"/>
    <xf numFmtId="0" fontId="7" fillId="7" borderId="1" xfId="0" quotePrefix="1" applyFont="1" applyFill="1" applyBorder="1"/>
    <xf numFmtId="0" fontId="7" fillId="0" borderId="2" xfId="0" applyFont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11" fillId="0" borderId="2" xfId="0" applyFont="1" applyBorder="1" applyAlignment="1">
      <alignment horizontal="right"/>
    </xf>
    <xf numFmtId="0" fontId="11" fillId="0" borderId="3" xfId="0" applyFont="1" applyBorder="1" applyAlignment="1">
      <alignment horizontal="right"/>
    </xf>
    <xf numFmtId="166" fontId="11" fillId="0" borderId="2" xfId="1" applyNumberFormat="1" applyFont="1" applyBorder="1" applyAlignment="1">
      <alignment horizontal="right" indent="1"/>
    </xf>
    <xf numFmtId="166" fontId="11" fillId="0" borderId="3" xfId="1" applyNumberFormat="1" applyFont="1" applyBorder="1" applyAlignment="1">
      <alignment horizontal="right" indent="1"/>
    </xf>
    <xf numFmtId="165" fontId="6" fillId="0" borderId="2" xfId="3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165" fontId="11" fillId="0" borderId="2" xfId="3" applyNumberFormat="1" applyFont="1" applyBorder="1" applyAlignment="1">
      <alignment horizontal="center"/>
    </xf>
    <xf numFmtId="165" fontId="11" fillId="0" borderId="12" xfId="3" applyNumberFormat="1" applyFont="1" applyBorder="1" applyAlignment="1">
      <alignment horizontal="center"/>
    </xf>
    <xf numFmtId="165" fontId="11" fillId="0" borderId="3" xfId="3" applyNumberFormat="1" applyFont="1" applyBorder="1" applyAlignment="1">
      <alignment horizontal="center"/>
    </xf>
    <xf numFmtId="9" fontId="11" fillId="0" borderId="2" xfId="2" applyFont="1" applyBorder="1" applyAlignment="1">
      <alignment horizontal="center"/>
    </xf>
    <xf numFmtId="9" fontId="11" fillId="0" borderId="12" xfId="2" applyFont="1" applyBorder="1" applyAlignment="1">
      <alignment horizontal="center"/>
    </xf>
    <xf numFmtId="9" fontId="11" fillId="0" borderId="3" xfId="2" applyFont="1" applyBorder="1" applyAlignment="1">
      <alignment horizontal="center"/>
    </xf>
    <xf numFmtId="165" fontId="6" fillId="0" borderId="2" xfId="3" applyNumberFormat="1" applyFont="1" applyFill="1" applyBorder="1" applyAlignment="1">
      <alignment horizontal="center" vertical="center"/>
    </xf>
    <xf numFmtId="165" fontId="6" fillId="0" borderId="12" xfId="3" applyNumberFormat="1" applyFont="1" applyFill="1" applyBorder="1" applyAlignment="1">
      <alignment horizontal="center" vertical="center"/>
    </xf>
    <xf numFmtId="165" fontId="6" fillId="0" borderId="3" xfId="3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7" fillId="0" borderId="4" xfId="4" applyFont="1" applyBorder="1" applyAlignment="1">
      <alignment horizontal="center" vertical="center"/>
    </xf>
    <xf numFmtId="0" fontId="7" fillId="0" borderId="5" xfId="4" applyFont="1" applyBorder="1" applyAlignment="1">
      <alignment horizontal="center" vertical="center"/>
    </xf>
    <xf numFmtId="0" fontId="7" fillId="0" borderId="6" xfId="4" applyFont="1" applyBorder="1" applyAlignment="1">
      <alignment horizontal="center" vertical="center"/>
    </xf>
    <xf numFmtId="166" fontId="6" fillId="0" borderId="2" xfId="1" applyNumberFormat="1" applyFont="1" applyBorder="1" applyAlignment="1">
      <alignment horizontal="center"/>
    </xf>
    <xf numFmtId="166" fontId="6" fillId="0" borderId="3" xfId="1" applyNumberFormat="1" applyFont="1" applyBorder="1" applyAlignment="1">
      <alignment horizontal="center"/>
    </xf>
    <xf numFmtId="9" fontId="6" fillId="0" borderId="2" xfId="2" applyFont="1" applyFill="1" applyBorder="1" applyAlignment="1">
      <alignment horizontal="center"/>
    </xf>
    <xf numFmtId="9" fontId="6" fillId="0" borderId="3" xfId="2" applyFont="1" applyFill="1" applyBorder="1" applyAlignment="1">
      <alignment horizontal="center"/>
    </xf>
    <xf numFmtId="165" fontId="6" fillId="0" borderId="1" xfId="0" applyNumberFormat="1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7" fillId="0" borderId="7" xfId="0" applyFont="1" applyBorder="1" applyAlignment="1">
      <alignment horizontal="center"/>
    </xf>
    <xf numFmtId="165" fontId="6" fillId="0" borderId="1" xfId="3" applyNumberFormat="1" applyFont="1" applyFill="1" applyBorder="1" applyAlignment="1">
      <alignment horizontal="center" wrapText="1"/>
    </xf>
    <xf numFmtId="165" fontId="6" fillId="0" borderId="2" xfId="3" applyNumberFormat="1" applyFont="1" applyFill="1" applyBorder="1" applyAlignment="1">
      <alignment horizontal="right" vertical="center"/>
    </xf>
    <xf numFmtId="165" fontId="6" fillId="0" borderId="3" xfId="3" applyNumberFormat="1" applyFont="1" applyFill="1" applyBorder="1" applyAlignment="1">
      <alignment horizontal="right" vertical="center"/>
    </xf>
    <xf numFmtId="165" fontId="6" fillId="0" borderId="2" xfId="0" applyNumberFormat="1" applyFont="1" applyBorder="1" applyAlignment="1">
      <alignment horizontal="right" vertical="center"/>
    </xf>
    <xf numFmtId="165" fontId="6" fillId="0" borderId="3" xfId="0" applyNumberFormat="1" applyFont="1" applyBorder="1" applyAlignment="1">
      <alignment horizontal="right" vertical="center"/>
    </xf>
    <xf numFmtId="0" fontId="7" fillId="2" borderId="4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7" xfId="0" applyFont="1" applyBorder="1" applyAlignment="1">
      <alignment horizontal="center"/>
    </xf>
    <xf numFmtId="165" fontId="6" fillId="0" borderId="1" xfId="3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</cellXfs>
  <cellStyles count="5">
    <cellStyle name="Comma" xfId="1" builtinId="3"/>
    <cellStyle name="Comma 2" xfId="3" xr:uid="{00000000-0005-0000-0000-000031000000}"/>
    <cellStyle name="Normal" xfId="0" builtinId="0"/>
    <cellStyle name="Normal 2" xfId="4" xr:uid="{31AC8732-F190-4362-907F-9EB5AD62663E}"/>
    <cellStyle name="Percent" xfId="2" builtinId="5"/>
  </cellStyles>
  <dxfs count="3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ita Choudhary/GSL" id="{C0E605A5-E792-45E6-8272-AF16CEA687FA}" userId="S::anita.c@getsetlearn.info::597c4271-c186-43db-805d-72610e18b53a" providerId="AD"/>
  <person displayName="Ujaccounts/GSL" id="{E0240E18-DC2B-4318-BD15-71EF711EF840}" userId="S::ujaccounts@getsetlearn.info::400f4450-d338-41d0-bd6f-b94d2703a1f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8" dT="2025-06-19T05:10:44.36" personId="{C0E605A5-E792-45E6-8272-AF16CEA687FA}" id="{8EC78016-2E27-4DE8-99AB-30921AF82476}">
    <text xml:space="preserve">As per Pratik yes but we didn’t received
</text>
  </threadedComment>
  <threadedComment ref="L41" dT="2025-12-05T12:13:22.35" personId="{C0E605A5-E792-45E6-8272-AF16CEA687FA}" id="{B767C869-5E94-4603-A799-468F81AC4A7E}">
    <text>35 Students</text>
  </threadedComment>
  <threadedComment ref="O60" dT="2025-07-28T06:54:17.76" personId="{C0E605A5-E792-45E6-8272-AF16CEA687FA}" id="{DF462078-205E-4F20-A8D0-F2F5351F65E9}">
    <text xml:space="preserve">Including trainer cost Rs.300 per student
</text>
  </threadedComment>
  <threadedComment ref="X60" dT="2025-07-28T07:20:39.35" personId="{C0E605A5-E792-45E6-8272-AF16CEA687FA}" id="{DF2258A4-10A0-40D5-9D10-0122461D5778}">
    <text xml:space="preserve">94000 pending </text>
  </threadedComment>
  <threadedComment ref="O67" dT="2025-07-23T06:03:40.00" personId="{E0240E18-DC2B-4318-BD15-71EF711EF840}" id="{0A291898-DBD7-44D7-A96C-FF2F2FCEEE4B}">
    <text xml:space="preserve">Including GSL trainer cost 300 per students
1200+300
</text>
  </threadedComment>
  <threadedComment ref="R68" dT="2026-01-21T10:49:10.78" personId="{C0E605A5-E792-45E6-8272-AF16CEA687FA}" id="{3CFC9D38-8A9A-41F9-82CA-D9AB7EC0DE33}">
    <text xml:space="preserve">On Invoice Value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15" dT="2025-07-28T06:54:17.76" personId="{C0E605A5-E792-45E6-8272-AF16CEA687FA}" id="{D3D5125B-2789-4EBD-AAD8-F96C5680BEBD}">
    <text xml:space="preserve">Including trainer cost Rs.300 per student
</text>
  </threadedComment>
  <threadedComment ref="X15" dT="2025-07-28T07:20:39.35" personId="{C0E605A5-E792-45E6-8272-AF16CEA687FA}" id="{960DF2E3-44D0-4DAB-ACE4-F411487D1F47}">
    <text xml:space="preserve">94000 pending </text>
  </threadedComment>
  <threadedComment ref="O22" dT="2025-07-23T06:03:40.00" personId="{E0240E18-DC2B-4318-BD15-71EF711EF840}" id="{29651DD7-1475-4C80-B8FE-A0F2F5C56CB0}">
    <text xml:space="preserve">Including GSL trainer cost 300 per students
1200+300
</text>
  </threadedComment>
  <threadedComment ref="R23" dT="2026-01-21T10:49:10.78" personId="{C0E605A5-E792-45E6-8272-AF16CEA687FA}" id="{7206F485-E76C-484B-B096-3D37739AB62D}">
    <text xml:space="preserve">On Invoice Value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5" dT="2025-06-19T05:10:44.36" personId="{C0E605A5-E792-45E6-8272-AF16CEA687FA}" id="{2CF149D2-AB62-46C0-9ECA-29F33C0716C0}">
    <text xml:space="preserve">As per Pratik yes but we didn’t received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Z88"/>
  <sheetViews>
    <sheetView showGridLines="0" tabSelected="1" zoomScale="85" zoomScaleNormal="85" workbookViewId="0">
      <pane xSplit="2" ySplit="4" topLeftCell="AJ63" activePane="bottomRight" state="frozen"/>
      <selection pane="topRight"/>
      <selection pane="bottomLeft"/>
      <selection pane="bottomRight" activeCell="AN66" sqref="AN66"/>
    </sheetView>
  </sheetViews>
  <sheetFormatPr defaultColWidth="8.7109375" defaultRowHeight="15"/>
  <cols>
    <col min="1" max="1" width="13" style="1" customWidth="1"/>
    <col min="2" max="2" width="60.42578125" style="1" bestFit="1" customWidth="1"/>
    <col min="3" max="3" width="19.28515625" style="1" bestFit="1" customWidth="1"/>
    <col min="4" max="4" width="18.28515625" style="21" bestFit="1" customWidth="1"/>
    <col min="5" max="5" width="19.42578125" style="21" bestFit="1" customWidth="1"/>
    <col min="6" max="6" width="14.28515625" style="21" bestFit="1" customWidth="1"/>
    <col min="7" max="7" width="13.28515625" style="21" bestFit="1" customWidth="1"/>
    <col min="8" max="8" width="32.85546875" style="1" bestFit="1" customWidth="1"/>
    <col min="9" max="9" width="21.5703125" style="1" bestFit="1" customWidth="1"/>
    <col min="10" max="10" width="13.140625" style="1" bestFit="1" customWidth="1"/>
    <col min="11" max="11" width="22.85546875" style="1" bestFit="1" customWidth="1"/>
    <col min="12" max="12" width="20.28515625" style="1" bestFit="1" customWidth="1"/>
    <col min="13" max="13" width="14.42578125" style="1" bestFit="1" customWidth="1"/>
    <col min="14" max="16" width="18.7109375" style="1" bestFit="1" customWidth="1"/>
    <col min="17" max="17" width="21.42578125" style="1" bestFit="1" customWidth="1"/>
    <col min="18" max="19" width="16.42578125" style="1" bestFit="1" customWidth="1"/>
    <col min="20" max="21" width="16.42578125" style="1" customWidth="1"/>
    <col min="22" max="22" width="15.7109375" style="1" bestFit="1" customWidth="1"/>
    <col min="23" max="23" width="7.140625" style="1" bestFit="1" customWidth="1"/>
    <col min="24" max="24" width="12.7109375" style="1" bestFit="1" customWidth="1"/>
    <col min="25" max="25" width="11.5703125" style="1" bestFit="1" customWidth="1"/>
    <col min="26" max="26" width="13.42578125" style="1" bestFit="1" customWidth="1"/>
    <col min="27" max="27" width="7.140625" style="1" bestFit="1" customWidth="1"/>
    <col min="28" max="28" width="13.85546875" style="1" bestFit="1" customWidth="1"/>
    <col min="29" max="29" width="11.5703125" style="1" bestFit="1" customWidth="1"/>
    <col min="30" max="30" width="25.28515625" style="1" customWidth="1"/>
    <col min="31" max="31" width="7.140625" style="1" bestFit="1" customWidth="1"/>
    <col min="32" max="32" width="12.7109375" style="1" bestFit="1" customWidth="1"/>
    <col min="33" max="33" width="11.5703125" style="1" bestFit="1" customWidth="1"/>
    <col min="34" max="34" width="13.7109375" style="1" bestFit="1" customWidth="1"/>
    <col min="35" max="35" width="7.140625" style="1" bestFit="1" customWidth="1"/>
    <col min="36" max="36" width="12.7109375" style="1" bestFit="1" customWidth="1"/>
    <col min="37" max="37" width="13.140625" style="1" bestFit="1" customWidth="1"/>
    <col min="38" max="38" width="10.5703125" style="1" bestFit="1" customWidth="1"/>
    <col min="39" max="39" width="2.85546875" style="1" customWidth="1"/>
    <col min="40" max="40" width="34.7109375" style="1" bestFit="1" customWidth="1"/>
    <col min="41" max="41" width="12.7109375" style="1" bestFit="1" customWidth="1"/>
    <col min="42" max="43" width="14.42578125" style="1" bestFit="1" customWidth="1"/>
    <col min="44" max="44" width="11.7109375" style="1" bestFit="1" customWidth="1"/>
    <col min="45" max="45" width="10.5703125" style="1" bestFit="1" customWidth="1"/>
    <col min="46" max="48" width="8.7109375" style="1" customWidth="1"/>
    <col min="49" max="49" width="17.7109375" style="1" customWidth="1"/>
    <col min="50" max="50" width="20.7109375" style="1" customWidth="1"/>
    <col min="51" max="51" width="20" style="1" customWidth="1"/>
    <col min="52" max="55" width="8.7109375" style="1" customWidth="1"/>
    <col min="56" max="62" width="10.7109375" style="1" customWidth="1"/>
    <col min="63" max="64" width="8.7109375" style="1" customWidth="1"/>
    <col min="65" max="65" width="9.42578125" style="1" customWidth="1"/>
    <col min="66" max="66" width="8.7109375" style="1" customWidth="1"/>
    <col min="67" max="67" width="10" style="1" customWidth="1"/>
    <col min="68" max="68" width="8.7109375" style="1" customWidth="1"/>
    <col min="69" max="69" width="10.42578125" style="1" customWidth="1"/>
    <col min="70" max="70" width="8.7109375" style="1" customWidth="1"/>
    <col min="71" max="73" width="10.28515625" style="1" customWidth="1"/>
    <col min="74" max="74" width="14.85546875" style="1" customWidth="1"/>
    <col min="75" max="75" width="9.7109375" style="1" customWidth="1"/>
    <col min="76" max="76" width="10.7109375" style="1" bestFit="1" customWidth="1"/>
    <col min="77" max="77" width="10.28515625" style="1" bestFit="1" customWidth="1"/>
    <col min="78" max="78" width="13.28515625" style="1" customWidth="1"/>
    <col min="79" max="80" width="10" style="1" bestFit="1" customWidth="1"/>
    <col min="81" max="81" width="10.28515625" style="1" bestFit="1" customWidth="1"/>
    <col min="82" max="82" width="6" style="1" bestFit="1" customWidth="1"/>
    <col min="83" max="83" width="7.7109375" style="1" bestFit="1" customWidth="1"/>
    <col min="84" max="100" width="8.7109375" style="1"/>
    <col min="101" max="101" width="9.85546875" style="1" bestFit="1" customWidth="1"/>
    <col min="102" max="103" width="3" style="1" bestFit="1" customWidth="1"/>
    <col min="104" max="104" width="4" style="1" bestFit="1" customWidth="1"/>
    <col min="105" max="16384" width="8.7109375" style="1"/>
  </cols>
  <sheetData>
    <row r="1" spans="1:83">
      <c r="A1" s="2" t="s">
        <v>0</v>
      </c>
      <c r="F1" s="6"/>
      <c r="G1" s="6"/>
      <c r="H1" s="2"/>
      <c r="I1" s="2"/>
      <c r="X1" s="15"/>
      <c r="Y1" s="15"/>
      <c r="Z1" s="15"/>
      <c r="AA1" s="136"/>
      <c r="AB1" s="1" t="s">
        <v>262</v>
      </c>
      <c r="AC1" s="138"/>
      <c r="AD1" s="1" t="s">
        <v>264</v>
      </c>
      <c r="BV1" s="259"/>
      <c r="BW1" s="259"/>
      <c r="BX1" s="259"/>
      <c r="BY1" s="259"/>
    </row>
    <row r="2" spans="1:83">
      <c r="A2" s="2" t="s">
        <v>1</v>
      </c>
      <c r="B2" s="3"/>
      <c r="C2" s="3"/>
      <c r="D2" s="42"/>
      <c r="E2" s="42"/>
      <c r="N2" s="143">
        <f>108000*100/118</f>
        <v>91525.423728813563</v>
      </c>
      <c r="P2" s="16"/>
      <c r="AA2" s="137"/>
      <c r="AB2" s="1" t="s">
        <v>263</v>
      </c>
      <c r="AC2" s="145"/>
      <c r="AD2" s="1" t="s">
        <v>281</v>
      </c>
      <c r="AP2" s="269"/>
      <c r="AQ2" s="269"/>
      <c r="AR2" s="269"/>
      <c r="AS2" s="269"/>
      <c r="AT2" s="269"/>
      <c r="AU2" s="269"/>
      <c r="AV2" s="269"/>
      <c r="AW2" s="269"/>
      <c r="AX2" s="269"/>
      <c r="AY2" s="269"/>
      <c r="AZ2" s="269"/>
      <c r="BA2" s="269"/>
      <c r="BW2" s="262"/>
      <c r="BX2" s="262"/>
      <c r="BY2" s="262"/>
    </row>
    <row r="3" spans="1:83">
      <c r="A3" s="2"/>
      <c r="B3" s="3"/>
      <c r="C3" s="3"/>
      <c r="D3" s="42"/>
      <c r="E3" s="42"/>
      <c r="W3" s="271" t="s">
        <v>3</v>
      </c>
      <c r="X3" s="272"/>
      <c r="Y3" s="272"/>
      <c r="Z3" s="273"/>
      <c r="AA3" s="274" t="s">
        <v>4</v>
      </c>
      <c r="AB3" s="274"/>
      <c r="AC3" s="274"/>
      <c r="AD3" s="275"/>
      <c r="AE3" s="276" t="s">
        <v>5</v>
      </c>
      <c r="AF3" s="277"/>
      <c r="AG3" s="277"/>
      <c r="AH3" s="278"/>
      <c r="AI3" s="279" t="s">
        <v>6</v>
      </c>
      <c r="AJ3" s="279"/>
      <c r="AK3" s="279"/>
      <c r="AL3" s="279"/>
      <c r="AM3" s="21"/>
      <c r="AN3" s="21"/>
      <c r="AO3" s="291" t="s">
        <v>295</v>
      </c>
      <c r="AP3" s="292"/>
      <c r="AQ3" s="292"/>
      <c r="AR3" s="293"/>
      <c r="AS3" s="112"/>
      <c r="AT3" s="112"/>
      <c r="AU3" s="112"/>
      <c r="AV3" s="112"/>
      <c r="AW3" s="112"/>
      <c r="AX3" s="112"/>
      <c r="AY3" s="112"/>
      <c r="AZ3" s="112"/>
      <c r="BA3" s="112"/>
      <c r="BD3" s="270"/>
      <c r="BE3" s="56"/>
      <c r="BF3" s="56"/>
      <c r="BG3" s="56"/>
      <c r="BH3" s="56"/>
      <c r="BI3" s="56"/>
      <c r="BJ3" s="56"/>
      <c r="BL3" s="56"/>
      <c r="BM3" s="56"/>
      <c r="BT3" s="260"/>
      <c r="BV3" s="260"/>
      <c r="BW3" s="263"/>
      <c r="CA3" s="113"/>
      <c r="CB3" s="260"/>
      <c r="CD3" s="261" t="s">
        <v>28</v>
      </c>
    </row>
    <row r="4" spans="1:83" ht="75">
      <c r="A4" s="4" t="s">
        <v>29</v>
      </c>
      <c r="B4" s="4" t="s">
        <v>30</v>
      </c>
      <c r="C4" s="4" t="s">
        <v>289</v>
      </c>
      <c r="D4" s="4" t="s">
        <v>31</v>
      </c>
      <c r="E4" s="4" t="s">
        <v>32</v>
      </c>
      <c r="F4" s="4" t="s">
        <v>33</v>
      </c>
      <c r="G4" s="4" t="s">
        <v>34</v>
      </c>
      <c r="H4" s="4" t="s">
        <v>35</v>
      </c>
      <c r="I4" s="4" t="s">
        <v>36</v>
      </c>
      <c r="J4" s="4" t="s">
        <v>37</v>
      </c>
      <c r="K4" s="4" t="s">
        <v>38</v>
      </c>
      <c r="L4" s="4" t="s">
        <v>39</v>
      </c>
      <c r="M4" s="4"/>
      <c r="N4" s="4" t="s">
        <v>40</v>
      </c>
      <c r="O4" s="4" t="s">
        <v>41</v>
      </c>
      <c r="P4" s="4" t="s">
        <v>42</v>
      </c>
      <c r="Q4" s="4" t="s">
        <v>43</v>
      </c>
      <c r="R4" s="4" t="s">
        <v>282</v>
      </c>
      <c r="S4" s="146" t="s">
        <v>283</v>
      </c>
      <c r="T4" s="146" t="s">
        <v>305</v>
      </c>
      <c r="U4" s="146" t="s">
        <v>306</v>
      </c>
      <c r="V4" s="4" t="s">
        <v>284</v>
      </c>
      <c r="W4" s="7" t="s">
        <v>45</v>
      </c>
      <c r="X4" s="7" t="s">
        <v>46</v>
      </c>
      <c r="Y4" s="7" t="s">
        <v>47</v>
      </c>
      <c r="Z4" s="7" t="s">
        <v>265</v>
      </c>
      <c r="AA4" s="150" t="s">
        <v>45</v>
      </c>
      <c r="AB4" s="17" t="s">
        <v>46</v>
      </c>
      <c r="AC4" s="17" t="s">
        <v>47</v>
      </c>
      <c r="AD4" s="17" t="s">
        <v>267</v>
      </c>
      <c r="AE4" s="18" t="s">
        <v>45</v>
      </c>
      <c r="AF4" s="18" t="s">
        <v>46</v>
      </c>
      <c r="AG4" s="18" t="s">
        <v>47</v>
      </c>
      <c r="AH4" s="18" t="s">
        <v>267</v>
      </c>
      <c r="AI4" s="19" t="s">
        <v>45</v>
      </c>
      <c r="AJ4" s="19" t="s">
        <v>46</v>
      </c>
      <c r="AK4" s="19" t="s">
        <v>47</v>
      </c>
      <c r="AL4" s="19" t="s">
        <v>267</v>
      </c>
      <c r="AN4" s="1" t="s">
        <v>366</v>
      </c>
      <c r="AO4" s="198" t="s">
        <v>296</v>
      </c>
      <c r="AP4" s="198" t="s">
        <v>297</v>
      </c>
      <c r="AQ4" s="198" t="s">
        <v>298</v>
      </c>
      <c r="AR4" s="198" t="s">
        <v>299</v>
      </c>
      <c r="BB4" s="67"/>
      <c r="BD4" s="270"/>
      <c r="BE4" s="58"/>
      <c r="BF4" s="58"/>
      <c r="BG4" s="55"/>
      <c r="BH4" s="55"/>
      <c r="BI4" s="55"/>
      <c r="BJ4" s="55"/>
      <c r="BL4" s="58"/>
      <c r="BM4" s="58"/>
      <c r="BN4" s="28"/>
      <c r="BO4" s="55"/>
      <c r="BP4" s="28"/>
      <c r="BQ4" s="59"/>
      <c r="BR4" s="28"/>
      <c r="BS4" s="59"/>
      <c r="BT4" s="260"/>
      <c r="BU4" s="59"/>
      <c r="BV4" s="260"/>
      <c r="BW4" s="263"/>
      <c r="CA4" s="114"/>
      <c r="CB4" s="260"/>
      <c r="CD4" s="261"/>
    </row>
    <row r="5" spans="1:83">
      <c r="A5" s="210">
        <v>1</v>
      </c>
      <c r="B5" s="5" t="s">
        <v>52</v>
      </c>
      <c r="C5" s="172"/>
      <c r="D5" s="31">
        <v>1</v>
      </c>
      <c r="E5" s="31"/>
      <c r="F5" s="31" t="s">
        <v>53</v>
      </c>
      <c r="G5" s="31" t="s">
        <v>54</v>
      </c>
      <c r="H5" s="5" t="s">
        <v>55</v>
      </c>
      <c r="I5" s="5" t="s">
        <v>56</v>
      </c>
      <c r="J5" s="5" t="s">
        <v>57</v>
      </c>
      <c r="K5" s="5">
        <v>420</v>
      </c>
      <c r="L5" s="168">
        <v>420</v>
      </c>
      <c r="M5" s="168"/>
      <c r="N5" s="44">
        <v>2000</v>
      </c>
      <c r="O5" s="45">
        <v>1832</v>
      </c>
      <c r="P5" s="10">
        <f>IFERROR(L5*O5,0)</f>
        <v>769440</v>
      </c>
      <c r="Q5" s="10">
        <f>352116+352116</f>
        <v>704232</v>
      </c>
      <c r="R5" s="13">
        <f>32604+32604</f>
        <v>65208</v>
      </c>
      <c r="S5" s="147">
        <f t="shared" ref="S5:S10" si="0">P5-Q5-R5</f>
        <v>0</v>
      </c>
      <c r="T5" s="147"/>
      <c r="U5" s="147"/>
      <c r="V5" s="154">
        <f>SUM(Q5:R5)/P5</f>
        <v>1</v>
      </c>
      <c r="W5" s="65">
        <v>0.5</v>
      </c>
      <c r="X5" s="49">
        <f>P5*50%</f>
        <v>384720</v>
      </c>
      <c r="Y5" s="127" t="s">
        <v>61</v>
      </c>
      <c r="Z5" s="127" t="s">
        <v>202</v>
      </c>
      <c r="AA5" s="148">
        <v>0.5</v>
      </c>
      <c r="AB5" s="49">
        <f t="shared" ref="AB5:AB19" si="1">P5*AA5</f>
        <v>384720</v>
      </c>
      <c r="AC5" s="128" t="s">
        <v>58</v>
      </c>
      <c r="AD5" s="128" t="s">
        <v>164</v>
      </c>
      <c r="AE5" s="10"/>
      <c r="AF5" s="10"/>
      <c r="AG5" s="10"/>
      <c r="AH5" s="10"/>
      <c r="AI5" s="142"/>
      <c r="AJ5" s="142"/>
      <c r="AK5" s="142"/>
      <c r="AL5" s="10"/>
      <c r="AN5" s="1" t="s">
        <v>361</v>
      </c>
      <c r="AO5" s="44">
        <v>0</v>
      </c>
      <c r="AP5" s="44">
        <f>Q5+R5+1</f>
        <v>769441</v>
      </c>
      <c r="AQ5" s="44">
        <f>AF5</f>
        <v>0</v>
      </c>
      <c r="AR5" s="44">
        <f>AJ5</f>
        <v>0</v>
      </c>
      <c r="AS5" s="115"/>
      <c r="AT5" s="115"/>
      <c r="AU5" s="115"/>
      <c r="AV5" s="115"/>
      <c r="AW5" s="115"/>
      <c r="AX5" s="257"/>
      <c r="AY5" s="115"/>
      <c r="AZ5" s="115"/>
      <c r="BA5" s="115"/>
      <c r="BB5" s="27"/>
      <c r="BC5" s="27"/>
      <c r="BD5" s="27"/>
      <c r="BE5" s="27"/>
      <c r="BF5" s="27"/>
      <c r="BG5" s="27"/>
      <c r="BH5" s="27"/>
      <c r="BI5" s="27"/>
      <c r="BJ5" s="27"/>
      <c r="BL5" s="15"/>
      <c r="BM5" s="15"/>
      <c r="BO5" s="27"/>
      <c r="BQ5" s="15"/>
      <c r="BS5" s="15"/>
      <c r="BT5" s="15"/>
      <c r="BU5" s="15"/>
      <c r="BV5" s="115"/>
      <c r="BW5" s="115"/>
      <c r="CA5" s="15"/>
      <c r="CB5" s="27"/>
      <c r="CD5" s="62">
        <f t="shared" ref="CD5:CD36" si="2">BT5-CB5</f>
        <v>0</v>
      </c>
      <c r="CE5" s="63" t="e">
        <f t="shared" ref="CE5:CE36" si="3">CD5/BT5</f>
        <v>#DIV/0!</v>
      </c>
    </row>
    <row r="6" spans="1:83">
      <c r="A6" s="210">
        <f>A5+1</f>
        <v>2</v>
      </c>
      <c r="B6" s="5" t="s">
        <v>59</v>
      </c>
      <c r="C6" s="5"/>
      <c r="D6" s="31">
        <v>1</v>
      </c>
      <c r="E6" s="31"/>
      <c r="F6" s="31" t="s">
        <v>53</v>
      </c>
      <c r="G6" s="31" t="s">
        <v>54</v>
      </c>
      <c r="H6" s="5" t="s">
        <v>55</v>
      </c>
      <c r="I6" s="5" t="s">
        <v>60</v>
      </c>
      <c r="J6" s="5" t="s">
        <v>57</v>
      </c>
      <c r="K6" s="5">
        <v>540</v>
      </c>
      <c r="L6" s="169">
        <v>531</v>
      </c>
      <c r="M6" s="169"/>
      <c r="N6" s="44">
        <v>2700</v>
      </c>
      <c r="O6" s="170">
        <f t="shared" ref="O6:O14" si="4">N6*1.18</f>
        <v>3186</v>
      </c>
      <c r="P6" s="10">
        <f>IFERROR(L6*O6,0)</f>
        <v>1691766</v>
      </c>
      <c r="Q6" s="10">
        <f>387099+387099</f>
        <v>774198</v>
      </c>
      <c r="R6" s="13">
        <f>35843+35843</f>
        <v>71686</v>
      </c>
      <c r="S6" s="147">
        <f>P6-Q6-R6-T6-U6</f>
        <v>-2</v>
      </c>
      <c r="T6" s="10">
        <f>387099+387099</f>
        <v>774198</v>
      </c>
      <c r="U6" s="13">
        <f>35843+35843</f>
        <v>71686</v>
      </c>
      <c r="V6" s="154">
        <f>(Q6+R6+T6+U6)/P6</f>
        <v>1.0000011821965922</v>
      </c>
      <c r="W6" s="65">
        <v>0.25</v>
      </c>
      <c r="X6" s="49">
        <f>P6*25%</f>
        <v>422941.5</v>
      </c>
      <c r="Y6" s="127" t="s">
        <v>61</v>
      </c>
      <c r="Z6" s="127" t="s">
        <v>202</v>
      </c>
      <c r="AA6" s="148">
        <v>0.25</v>
      </c>
      <c r="AB6" s="49">
        <f t="shared" si="1"/>
        <v>422941.5</v>
      </c>
      <c r="AC6" s="128" t="s">
        <v>58</v>
      </c>
      <c r="AD6" s="128" t="s">
        <v>164</v>
      </c>
      <c r="AE6" s="191">
        <v>0.25</v>
      </c>
      <c r="AF6" s="189">
        <f t="shared" ref="AF6:AF15" si="5">P6*AE6</f>
        <v>422941.5</v>
      </c>
      <c r="AG6" s="177" t="s">
        <v>62</v>
      </c>
      <c r="AH6" s="177" t="s">
        <v>164</v>
      </c>
      <c r="AI6" s="191">
        <v>0.25</v>
      </c>
      <c r="AJ6" s="189">
        <f t="shared" ref="AJ6:AJ15" si="6">P6*AI6</f>
        <v>422941.5</v>
      </c>
      <c r="AK6" s="177" t="s">
        <v>63</v>
      </c>
      <c r="AL6" s="177" t="s">
        <v>202</v>
      </c>
      <c r="AN6" s="1" t="s">
        <v>361</v>
      </c>
      <c r="AO6" s="44">
        <v>0</v>
      </c>
      <c r="AP6" s="44">
        <f>Q6+R6+T6+U6+1</f>
        <v>1691769</v>
      </c>
      <c r="AQ6" s="44">
        <v>0</v>
      </c>
      <c r="AR6" s="44">
        <v>0</v>
      </c>
      <c r="AS6" s="115"/>
      <c r="AT6" s="115"/>
      <c r="AU6" s="115"/>
      <c r="AV6" s="115"/>
      <c r="AW6" s="115"/>
      <c r="AX6" s="257"/>
      <c r="AY6" s="115"/>
      <c r="AZ6" s="115"/>
      <c r="BA6" s="115"/>
      <c r="BB6" s="27"/>
      <c r="BC6" s="27"/>
      <c r="BD6" s="27"/>
      <c r="BE6" s="27"/>
      <c r="BF6" s="27"/>
      <c r="BG6" s="27"/>
      <c r="BH6" s="27"/>
      <c r="BI6" s="27"/>
      <c r="BJ6" s="27"/>
      <c r="BL6" s="15"/>
      <c r="BM6" s="15"/>
      <c r="BO6" s="27"/>
      <c r="BQ6" s="15"/>
      <c r="BS6" s="15"/>
      <c r="BT6" s="15"/>
      <c r="BU6" s="15"/>
      <c r="BV6" s="115"/>
      <c r="BW6" s="115"/>
      <c r="CA6" s="15"/>
      <c r="CB6" s="27"/>
      <c r="CD6" s="62">
        <f t="shared" si="2"/>
        <v>0</v>
      </c>
      <c r="CE6" s="63" t="e">
        <f t="shared" si="3"/>
        <v>#DIV/0!</v>
      </c>
    </row>
    <row r="7" spans="1:83">
      <c r="A7" s="210">
        <f>A6+1</f>
        <v>3</v>
      </c>
      <c r="B7" s="254" t="s">
        <v>64</v>
      </c>
      <c r="C7" s="172"/>
      <c r="D7" s="31">
        <v>1</v>
      </c>
      <c r="E7" s="31" t="s">
        <v>54</v>
      </c>
      <c r="F7" s="31" t="s">
        <v>54</v>
      </c>
      <c r="G7" s="31" t="s">
        <v>54</v>
      </c>
      <c r="H7" s="5" t="s">
        <v>55</v>
      </c>
      <c r="I7" s="5" t="s">
        <v>56</v>
      </c>
      <c r="J7" s="5" t="s">
        <v>57</v>
      </c>
      <c r="K7" s="5">
        <v>500</v>
      </c>
      <c r="L7" s="11">
        <f>45+46+47+46+49+49+50+47+44+43+46+47</f>
        <v>559</v>
      </c>
      <c r="M7" s="11"/>
      <c r="N7" s="44">
        <v>2500</v>
      </c>
      <c r="O7" s="170">
        <f t="shared" si="4"/>
        <v>2950</v>
      </c>
      <c r="P7" s="10">
        <f>IFERROR(L7*O7,0)</f>
        <v>1649050</v>
      </c>
      <c r="Q7" s="13">
        <f>377325+377325+377325+377325</f>
        <v>1509300</v>
      </c>
      <c r="R7" s="1">
        <f>34938+34938+34938+34938</f>
        <v>139752</v>
      </c>
      <c r="S7" s="147">
        <f t="shared" si="0"/>
        <v>-2</v>
      </c>
      <c r="T7" s="147"/>
      <c r="U7" s="147"/>
      <c r="V7" s="154">
        <f>SUM(Q7:R7)/P7</f>
        <v>1.0000012128195022</v>
      </c>
      <c r="W7" s="65">
        <v>0.25</v>
      </c>
      <c r="X7" s="49">
        <f>P7*25%</f>
        <v>412262.5</v>
      </c>
      <c r="Y7" s="127" t="s">
        <v>65</v>
      </c>
      <c r="Z7" s="127" t="s">
        <v>202</v>
      </c>
      <c r="AA7" s="148">
        <v>0.25</v>
      </c>
      <c r="AB7" s="49">
        <f t="shared" si="1"/>
        <v>412262.5</v>
      </c>
      <c r="AC7" s="128" t="s">
        <v>66</v>
      </c>
      <c r="AD7" s="128" t="s">
        <v>164</v>
      </c>
      <c r="AE7" s="65">
        <v>0.25</v>
      </c>
      <c r="AF7" s="49">
        <f t="shared" si="5"/>
        <v>412262.5</v>
      </c>
      <c r="AG7" s="128" t="s">
        <v>62</v>
      </c>
      <c r="AH7" s="128" t="s">
        <v>164</v>
      </c>
      <c r="AI7" s="191">
        <v>0.25</v>
      </c>
      <c r="AJ7" s="189">
        <f t="shared" si="6"/>
        <v>412262.5</v>
      </c>
      <c r="AK7" s="177" t="s">
        <v>63</v>
      </c>
      <c r="AL7" s="177" t="s">
        <v>202</v>
      </c>
      <c r="AN7" s="1" t="s">
        <v>361</v>
      </c>
      <c r="AO7" s="44">
        <v>0</v>
      </c>
      <c r="AP7" s="44">
        <f>Q7+R7-2</f>
        <v>1649050</v>
      </c>
      <c r="AQ7" s="44">
        <v>0</v>
      </c>
      <c r="AR7" s="44">
        <v>0</v>
      </c>
      <c r="AS7" s="115"/>
      <c r="AT7" s="115"/>
      <c r="AU7" s="115"/>
      <c r="AV7" s="115"/>
      <c r="AW7" s="115"/>
      <c r="AX7" s="257"/>
      <c r="AY7" s="115"/>
      <c r="AZ7" s="115"/>
      <c r="BA7" s="115"/>
      <c r="BB7" s="27"/>
      <c r="BC7" s="27"/>
      <c r="BD7" s="27"/>
      <c r="BE7" s="27"/>
      <c r="BF7" s="27"/>
      <c r="BG7" s="27"/>
      <c r="BH7" s="27"/>
      <c r="BI7" s="27"/>
      <c r="BJ7" s="27"/>
      <c r="BL7" s="15"/>
      <c r="BM7" s="15"/>
      <c r="BO7" s="27"/>
      <c r="BQ7" s="15"/>
      <c r="BS7" s="15"/>
      <c r="BT7" s="15"/>
      <c r="BU7" s="15"/>
      <c r="BV7" s="115"/>
      <c r="BW7" s="115"/>
      <c r="CA7" s="15"/>
      <c r="CB7" s="27"/>
      <c r="CD7" s="62">
        <f t="shared" si="2"/>
        <v>0</v>
      </c>
      <c r="CE7" s="63" t="e">
        <f t="shared" si="3"/>
        <v>#DIV/0!</v>
      </c>
    </row>
    <row r="8" spans="1:83">
      <c r="A8" s="210">
        <v>4</v>
      </c>
      <c r="B8" s="254" t="s">
        <v>67</v>
      </c>
      <c r="C8" s="172"/>
      <c r="D8" s="31">
        <v>1</v>
      </c>
      <c r="E8" s="31"/>
      <c r="F8" s="43" t="s">
        <v>68</v>
      </c>
      <c r="G8" s="31" t="s">
        <v>54</v>
      </c>
      <c r="H8" s="5" t="s">
        <v>55</v>
      </c>
      <c r="I8" s="5" t="s">
        <v>56</v>
      </c>
      <c r="J8" s="5" t="s">
        <v>57</v>
      </c>
      <c r="K8" s="5">
        <v>500</v>
      </c>
      <c r="L8" s="171">
        <v>608</v>
      </c>
      <c r="M8" s="171"/>
      <c r="N8" s="45">
        <v>2500</v>
      </c>
      <c r="O8" s="170">
        <f t="shared" ref="O8" si="7">N8*1.18</f>
        <v>2950</v>
      </c>
      <c r="P8" s="52">
        <f>IFERROR(L8*O8,0)-(100*2950*20%)</f>
        <v>1734600</v>
      </c>
      <c r="Q8" s="10">
        <f>396900+396900+396900+396900</f>
        <v>1587600</v>
      </c>
      <c r="R8" s="13">
        <f>36750+36750+36750+36750</f>
        <v>147000</v>
      </c>
      <c r="S8" s="147">
        <f t="shared" si="0"/>
        <v>0</v>
      </c>
      <c r="T8" s="147"/>
      <c r="U8" s="147"/>
      <c r="V8" s="154">
        <f t="shared" ref="V8:V10" si="8">SUM(Q8:R8)/P8</f>
        <v>1</v>
      </c>
      <c r="W8" s="65">
        <v>0.25</v>
      </c>
      <c r="X8" s="126">
        <f>P8*W8</f>
        <v>433650</v>
      </c>
      <c r="Y8" s="127" t="s">
        <v>69</v>
      </c>
      <c r="Z8" s="127" t="s">
        <v>202</v>
      </c>
      <c r="AA8" s="175">
        <v>0.25</v>
      </c>
      <c r="AB8" s="176">
        <f t="shared" si="1"/>
        <v>433650</v>
      </c>
      <c r="AC8" s="177" t="s">
        <v>70</v>
      </c>
      <c r="AD8" s="177" t="s">
        <v>266</v>
      </c>
      <c r="AE8" s="191">
        <v>0.25</v>
      </c>
      <c r="AF8" s="176">
        <f t="shared" si="5"/>
        <v>433650</v>
      </c>
      <c r="AG8" s="177" t="s">
        <v>62</v>
      </c>
      <c r="AH8" s="177" t="s">
        <v>164</v>
      </c>
      <c r="AI8" s="191">
        <v>0.25</v>
      </c>
      <c r="AJ8" s="189">
        <f t="shared" si="6"/>
        <v>433650</v>
      </c>
      <c r="AK8" s="177" t="s">
        <v>63</v>
      </c>
      <c r="AL8" s="177" t="s">
        <v>202</v>
      </c>
      <c r="AN8" s="1" t="s">
        <v>361</v>
      </c>
      <c r="AO8" s="44">
        <v>0</v>
      </c>
      <c r="AP8" s="44">
        <f>Q8+R8</f>
        <v>1734600</v>
      </c>
      <c r="AQ8" s="44">
        <v>0</v>
      </c>
      <c r="AR8" s="44">
        <v>0</v>
      </c>
      <c r="AS8" s="115"/>
      <c r="AT8" s="115"/>
      <c r="AU8" s="115"/>
      <c r="AV8" s="115"/>
      <c r="AW8" s="115"/>
      <c r="AX8" s="257"/>
      <c r="AY8" s="115"/>
      <c r="AZ8" s="115"/>
      <c r="BA8" s="115"/>
      <c r="BB8" s="27"/>
      <c r="BC8" s="27"/>
      <c r="BD8" s="27"/>
      <c r="BE8" s="27"/>
      <c r="BF8" s="27"/>
      <c r="BG8" s="27"/>
      <c r="BH8" s="27"/>
      <c r="BI8" s="27"/>
      <c r="BJ8" s="27"/>
      <c r="BL8" s="15"/>
      <c r="BM8" s="15"/>
      <c r="BO8" s="27"/>
      <c r="BQ8" s="15"/>
      <c r="BS8" s="15"/>
      <c r="BT8" s="15"/>
      <c r="BU8" s="15"/>
      <c r="BV8" s="115"/>
      <c r="BW8" s="115"/>
      <c r="CA8" s="15"/>
      <c r="CB8" s="27"/>
      <c r="CD8" s="62">
        <f t="shared" si="2"/>
        <v>0</v>
      </c>
      <c r="CE8" s="63" t="e">
        <f t="shared" si="3"/>
        <v>#DIV/0!</v>
      </c>
    </row>
    <row r="9" spans="1:83">
      <c r="A9" s="210">
        <v>5</v>
      </c>
      <c r="B9" s="5" t="s">
        <v>72</v>
      </c>
      <c r="C9" s="172"/>
      <c r="D9" s="31">
        <v>1</v>
      </c>
      <c r="E9" s="31" t="s">
        <v>54</v>
      </c>
      <c r="F9" s="31" t="s">
        <v>54</v>
      </c>
      <c r="G9" s="31" t="s">
        <v>54</v>
      </c>
      <c r="H9" s="5" t="s">
        <v>55</v>
      </c>
      <c r="I9" s="5" t="s">
        <v>73</v>
      </c>
      <c r="J9" s="5" t="s">
        <v>57</v>
      </c>
      <c r="K9" s="5">
        <v>900</v>
      </c>
      <c r="L9" s="169">
        <v>1048</v>
      </c>
      <c r="M9" s="169"/>
      <c r="N9" s="44">
        <f>2200/118*100</f>
        <v>1864.406779661017</v>
      </c>
      <c r="O9" s="45">
        <f t="shared" si="4"/>
        <v>2200</v>
      </c>
      <c r="P9" s="10">
        <f t="shared" ref="P9:P14" si="9">IFERROR(L9*O9,0)</f>
        <v>2305600</v>
      </c>
      <c r="Q9" s="10">
        <v>2305600</v>
      </c>
      <c r="R9" s="13">
        <v>0</v>
      </c>
      <c r="S9" s="147">
        <f t="shared" si="0"/>
        <v>0</v>
      </c>
      <c r="T9" s="147"/>
      <c r="U9" s="147"/>
      <c r="V9" s="154">
        <f t="shared" si="8"/>
        <v>1</v>
      </c>
      <c r="W9" s="65">
        <v>0.05</v>
      </c>
      <c r="X9" s="49">
        <f t="shared" ref="X9:X14" si="10">P9*25%</f>
        <v>576400</v>
      </c>
      <c r="Y9" s="127" t="s">
        <v>71</v>
      </c>
      <c r="Z9" s="127" t="s">
        <v>202</v>
      </c>
      <c r="AA9" s="148">
        <f t="shared" ref="AA9:AA14" si="11">1-W9</f>
        <v>0.95</v>
      </c>
      <c r="AB9" s="49">
        <f t="shared" si="1"/>
        <v>2190320</v>
      </c>
      <c r="AC9" s="128" t="s">
        <v>65</v>
      </c>
      <c r="AD9" s="128" t="s">
        <v>202</v>
      </c>
      <c r="AE9" s="10">
        <v>0</v>
      </c>
      <c r="AF9" s="10">
        <f t="shared" si="5"/>
        <v>0</v>
      </c>
      <c r="AG9" s="10">
        <v>0</v>
      </c>
      <c r="AH9" s="10"/>
      <c r="AI9" s="10">
        <v>0</v>
      </c>
      <c r="AJ9" s="10">
        <f t="shared" si="6"/>
        <v>0</v>
      </c>
      <c r="AK9" s="10">
        <v>0</v>
      </c>
      <c r="AL9" s="10"/>
      <c r="AN9" s="1" t="s">
        <v>361</v>
      </c>
      <c r="AO9" s="44">
        <v>0</v>
      </c>
      <c r="AP9" s="44">
        <f>Q9+R9+4</f>
        <v>2305604</v>
      </c>
      <c r="AQ9" s="44">
        <v>0</v>
      </c>
      <c r="AR9" s="44">
        <v>0</v>
      </c>
      <c r="AS9" s="115"/>
      <c r="AT9" s="115"/>
      <c r="AU9" s="115"/>
      <c r="AV9" s="115"/>
      <c r="AW9" s="115"/>
      <c r="AX9" s="257"/>
      <c r="AY9" s="115"/>
      <c r="AZ9" s="115"/>
      <c r="BA9" s="115"/>
      <c r="BB9" s="27"/>
      <c r="BC9" s="27"/>
      <c r="BD9" s="27"/>
      <c r="BE9" s="27"/>
      <c r="BF9" s="27"/>
      <c r="BG9" s="27"/>
      <c r="BH9" s="27"/>
      <c r="BI9" s="27"/>
      <c r="BJ9" s="27"/>
      <c r="BL9" s="15"/>
      <c r="BM9" s="15"/>
      <c r="BO9" s="27"/>
      <c r="BQ9" s="15"/>
      <c r="BS9" s="15"/>
      <c r="BT9" s="15"/>
      <c r="BU9" s="15"/>
      <c r="BV9" s="115"/>
      <c r="BW9" s="115"/>
      <c r="CA9" s="15"/>
      <c r="CB9" s="27"/>
      <c r="CD9" s="62">
        <f t="shared" si="2"/>
        <v>0</v>
      </c>
      <c r="CE9" s="63" t="e">
        <f t="shared" si="3"/>
        <v>#DIV/0!</v>
      </c>
    </row>
    <row r="10" spans="1:83">
      <c r="A10" s="210">
        <f t="shared" ref="A10:A32" si="12">A9+1</f>
        <v>6</v>
      </c>
      <c r="B10" s="5" t="s">
        <v>74</v>
      </c>
      <c r="C10" s="172"/>
      <c r="D10" s="31">
        <v>1</v>
      </c>
      <c r="E10" s="31" t="s">
        <v>54</v>
      </c>
      <c r="F10" s="31" t="s">
        <v>54</v>
      </c>
      <c r="G10" s="31" t="s">
        <v>54</v>
      </c>
      <c r="H10" s="5" t="s">
        <v>55</v>
      </c>
      <c r="I10" s="5" t="s">
        <v>73</v>
      </c>
      <c r="J10" s="5" t="s">
        <v>57</v>
      </c>
      <c r="K10" s="5">
        <v>900</v>
      </c>
      <c r="L10" s="169">
        <v>960</v>
      </c>
      <c r="M10" s="169"/>
      <c r="N10" s="44">
        <f>2200/118*100</f>
        <v>1864.406779661017</v>
      </c>
      <c r="O10" s="45">
        <f t="shared" si="4"/>
        <v>2200</v>
      </c>
      <c r="P10" s="10">
        <f t="shared" si="9"/>
        <v>2112000</v>
      </c>
      <c r="Q10" s="10">
        <f>483254*4</f>
        <v>1933016</v>
      </c>
      <c r="R10" s="13">
        <f>44746*4</f>
        <v>178984</v>
      </c>
      <c r="S10" s="147">
        <f t="shared" si="0"/>
        <v>0</v>
      </c>
      <c r="T10" s="147"/>
      <c r="U10" s="147"/>
      <c r="V10" s="154">
        <f t="shared" si="8"/>
        <v>1</v>
      </c>
      <c r="W10" s="65">
        <v>0.25</v>
      </c>
      <c r="X10" s="49">
        <f t="shared" si="10"/>
        <v>528000</v>
      </c>
      <c r="Y10" s="130" t="s">
        <v>66</v>
      </c>
      <c r="Z10" s="130" t="s">
        <v>202</v>
      </c>
      <c r="AA10" s="148">
        <v>0.25</v>
      </c>
      <c r="AB10" s="49">
        <f t="shared" si="1"/>
        <v>528000</v>
      </c>
      <c r="AC10" s="128" t="s">
        <v>58</v>
      </c>
      <c r="AD10" s="128" t="s">
        <v>202</v>
      </c>
      <c r="AE10" s="65">
        <v>0.25</v>
      </c>
      <c r="AF10" s="49">
        <f t="shared" si="5"/>
        <v>528000</v>
      </c>
      <c r="AG10" s="128" t="s">
        <v>75</v>
      </c>
      <c r="AH10" s="128" t="s">
        <v>266</v>
      </c>
      <c r="AI10" s="191">
        <v>0.25</v>
      </c>
      <c r="AJ10" s="189">
        <f t="shared" si="6"/>
        <v>528000</v>
      </c>
      <c r="AK10" s="177" t="s">
        <v>71</v>
      </c>
      <c r="AL10" s="177" t="s">
        <v>202</v>
      </c>
      <c r="AN10" s="1" t="s">
        <v>361</v>
      </c>
      <c r="AO10" s="44">
        <v>0</v>
      </c>
      <c r="AP10" s="44">
        <f>Q10+R10+4</f>
        <v>2112004</v>
      </c>
      <c r="AQ10" s="44">
        <v>0</v>
      </c>
      <c r="AR10" s="44">
        <v>0</v>
      </c>
      <c r="AS10" s="115"/>
      <c r="AT10" s="115"/>
      <c r="AU10" s="115"/>
      <c r="AV10" s="115"/>
      <c r="AW10" s="115"/>
      <c r="AX10" s="257"/>
      <c r="AY10" s="115"/>
      <c r="AZ10" s="115"/>
      <c r="BA10" s="115"/>
      <c r="BB10" s="27"/>
      <c r="BC10" s="27"/>
      <c r="BD10" s="27"/>
      <c r="BE10" s="27"/>
      <c r="BF10" s="27"/>
      <c r="BG10" s="27"/>
      <c r="BH10" s="27"/>
      <c r="BI10" s="27"/>
      <c r="BJ10" s="27"/>
      <c r="BL10" s="15"/>
      <c r="BM10" s="15"/>
      <c r="BO10" s="27"/>
      <c r="BQ10" s="15"/>
      <c r="BS10" s="15"/>
      <c r="BT10" s="15"/>
      <c r="BU10" s="15"/>
      <c r="BV10" s="115"/>
      <c r="BW10" s="115"/>
      <c r="CA10" s="15"/>
      <c r="CB10" s="27"/>
      <c r="CD10" s="62">
        <f t="shared" si="2"/>
        <v>0</v>
      </c>
      <c r="CE10" s="63" t="e">
        <f t="shared" si="3"/>
        <v>#DIV/0!</v>
      </c>
    </row>
    <row r="11" spans="1:83">
      <c r="A11" s="210">
        <f t="shared" si="12"/>
        <v>7</v>
      </c>
      <c r="B11" s="5" t="s">
        <v>76</v>
      </c>
      <c r="C11" s="172"/>
      <c r="D11" s="31">
        <v>1</v>
      </c>
      <c r="E11" s="31" t="s">
        <v>54</v>
      </c>
      <c r="F11" s="31" t="s">
        <v>54</v>
      </c>
      <c r="G11" s="31" t="s">
        <v>54</v>
      </c>
      <c r="H11" s="5" t="s">
        <v>55</v>
      </c>
      <c r="I11" s="5" t="s">
        <v>56</v>
      </c>
      <c r="J11" s="5" t="s">
        <v>57</v>
      </c>
      <c r="K11" s="5">
        <v>271</v>
      </c>
      <c r="L11" s="8">
        <v>270</v>
      </c>
      <c r="M11" s="8"/>
      <c r="N11" s="45">
        <v>1800</v>
      </c>
      <c r="O11" s="45">
        <f t="shared" si="4"/>
        <v>2124</v>
      </c>
      <c r="P11" s="10">
        <f t="shared" si="9"/>
        <v>573480</v>
      </c>
      <c r="Q11" s="268">
        <f>150156+3140367</f>
        <v>3290523</v>
      </c>
      <c r="R11" s="286">
        <f>16684+31721</f>
        <v>48405</v>
      </c>
      <c r="S11" s="280">
        <f>P11+P12+P13+P14-Q11-R11</f>
        <v>0</v>
      </c>
      <c r="T11" s="207"/>
      <c r="U11" s="207"/>
      <c r="V11" s="283">
        <f>SUM(Q11:R11)/(P11+P12+P13+P14)</f>
        <v>1</v>
      </c>
      <c r="W11" s="65">
        <v>0.05</v>
      </c>
      <c r="X11" s="49">
        <f t="shared" si="10"/>
        <v>143370</v>
      </c>
      <c r="Y11" s="127" t="s">
        <v>71</v>
      </c>
      <c r="Z11" s="127" t="s">
        <v>202</v>
      </c>
      <c r="AA11" s="148">
        <f t="shared" si="11"/>
        <v>0.95</v>
      </c>
      <c r="AB11" s="49">
        <f t="shared" si="1"/>
        <v>544806</v>
      </c>
      <c r="AC11" s="128" t="s">
        <v>65</v>
      </c>
      <c r="AD11" s="127" t="s">
        <v>202</v>
      </c>
      <c r="AE11" s="10">
        <v>0</v>
      </c>
      <c r="AF11" s="10">
        <f t="shared" si="5"/>
        <v>0</v>
      </c>
      <c r="AG11" s="10">
        <v>0</v>
      </c>
      <c r="AH11" s="10"/>
      <c r="AI11" s="10">
        <v>0</v>
      </c>
      <c r="AJ11" s="10">
        <f t="shared" si="6"/>
        <v>0</v>
      </c>
      <c r="AK11" s="10">
        <v>0</v>
      </c>
      <c r="AL11" s="10"/>
      <c r="AN11" s="1" t="s">
        <v>361</v>
      </c>
      <c r="AO11" s="44">
        <v>0</v>
      </c>
      <c r="AP11" s="44">
        <f>P11</f>
        <v>573480</v>
      </c>
      <c r="AQ11" s="44">
        <v>0</v>
      </c>
      <c r="AR11" s="44">
        <v>0</v>
      </c>
      <c r="AS11" s="115"/>
      <c r="AT11" s="115"/>
      <c r="AU11" s="115"/>
      <c r="AV11" s="115"/>
      <c r="AW11" s="115"/>
      <c r="AX11" s="257"/>
      <c r="AY11" s="115"/>
      <c r="AZ11" s="115"/>
      <c r="BA11" s="115"/>
      <c r="BB11" s="27"/>
      <c r="BC11" s="27"/>
      <c r="BD11" s="27"/>
      <c r="BE11" s="27"/>
      <c r="BF11" s="27"/>
      <c r="BG11" s="27"/>
      <c r="BH11" s="27"/>
      <c r="BI11" s="27"/>
      <c r="BJ11" s="27"/>
      <c r="BL11" s="15"/>
      <c r="BM11" s="15"/>
      <c r="BO11" s="27"/>
      <c r="BQ11" s="15"/>
      <c r="BS11" s="15"/>
      <c r="BT11" s="15"/>
      <c r="BU11" s="15"/>
      <c r="BV11" s="115"/>
      <c r="BW11" s="115"/>
      <c r="CA11" s="15"/>
      <c r="CB11" s="27"/>
      <c r="CD11" s="62">
        <f t="shared" si="2"/>
        <v>0</v>
      </c>
      <c r="CE11" s="63" t="e">
        <f t="shared" si="3"/>
        <v>#DIV/0!</v>
      </c>
    </row>
    <row r="12" spans="1:83">
      <c r="A12" s="210">
        <f t="shared" si="12"/>
        <v>8</v>
      </c>
      <c r="B12" s="5" t="s">
        <v>77</v>
      </c>
      <c r="C12" s="172"/>
      <c r="D12" s="31">
        <v>1</v>
      </c>
      <c r="E12" s="31" t="s">
        <v>54</v>
      </c>
      <c r="F12" s="31" t="s">
        <v>54</v>
      </c>
      <c r="G12" s="31" t="s">
        <v>54</v>
      </c>
      <c r="H12" s="5" t="s">
        <v>55</v>
      </c>
      <c r="I12" s="5" t="s">
        <v>78</v>
      </c>
      <c r="J12" s="5" t="s">
        <v>57</v>
      </c>
      <c r="K12" s="5">
        <v>476</v>
      </c>
      <c r="L12" s="40">
        <v>474</v>
      </c>
      <c r="M12" s="40"/>
      <c r="N12" s="45">
        <v>1800</v>
      </c>
      <c r="O12" s="45">
        <f t="shared" si="4"/>
        <v>2124</v>
      </c>
      <c r="P12" s="10">
        <f t="shared" si="9"/>
        <v>1006776</v>
      </c>
      <c r="Q12" s="268"/>
      <c r="R12" s="287"/>
      <c r="S12" s="281"/>
      <c r="T12" s="208"/>
      <c r="U12" s="208"/>
      <c r="V12" s="284"/>
      <c r="W12" s="65">
        <v>0.05</v>
      </c>
      <c r="X12" s="49">
        <f t="shared" si="10"/>
        <v>251694</v>
      </c>
      <c r="Y12" s="127" t="s">
        <v>71</v>
      </c>
      <c r="Z12" s="127" t="s">
        <v>202</v>
      </c>
      <c r="AA12" s="148">
        <f t="shared" si="11"/>
        <v>0.95</v>
      </c>
      <c r="AB12" s="49">
        <f t="shared" si="1"/>
        <v>956437.2</v>
      </c>
      <c r="AC12" s="128" t="s">
        <v>65</v>
      </c>
      <c r="AD12" s="127" t="s">
        <v>202</v>
      </c>
      <c r="AE12" s="10">
        <v>0</v>
      </c>
      <c r="AF12" s="10">
        <f t="shared" si="5"/>
        <v>0</v>
      </c>
      <c r="AG12" s="10">
        <v>0</v>
      </c>
      <c r="AH12" s="10"/>
      <c r="AI12" s="10">
        <v>0</v>
      </c>
      <c r="AJ12" s="10">
        <f t="shared" si="6"/>
        <v>0</v>
      </c>
      <c r="AK12" s="10">
        <v>0</v>
      </c>
      <c r="AL12" s="10"/>
      <c r="AN12" s="1" t="s">
        <v>361</v>
      </c>
      <c r="AO12" s="44">
        <v>0</v>
      </c>
      <c r="AP12" s="44">
        <f>P12</f>
        <v>1006776</v>
      </c>
      <c r="AQ12" s="44">
        <v>0</v>
      </c>
      <c r="AR12" s="44">
        <v>0</v>
      </c>
      <c r="AS12" s="115"/>
      <c r="AT12" s="115"/>
      <c r="AU12" s="115"/>
      <c r="AV12" s="115"/>
      <c r="AW12" s="115"/>
      <c r="AX12" s="257"/>
      <c r="AY12" s="115"/>
      <c r="AZ12" s="115"/>
      <c r="BA12" s="115"/>
      <c r="BB12" s="27"/>
      <c r="BC12" s="27"/>
      <c r="BD12" s="27"/>
      <c r="BE12" s="27"/>
      <c r="BF12" s="27"/>
      <c r="BG12" s="27"/>
      <c r="BH12" s="27"/>
      <c r="BI12" s="27"/>
      <c r="BJ12" s="27"/>
      <c r="BL12" s="15"/>
      <c r="BM12" s="15"/>
      <c r="BO12" s="27"/>
      <c r="BQ12" s="15"/>
      <c r="BS12" s="15"/>
      <c r="BT12" s="15"/>
      <c r="BU12" s="15"/>
      <c r="BV12" s="115"/>
      <c r="BW12" s="115"/>
      <c r="CA12" s="15"/>
      <c r="CB12" s="27"/>
      <c r="CD12" s="62">
        <f t="shared" si="2"/>
        <v>0</v>
      </c>
      <c r="CE12" s="63" t="e">
        <f t="shared" si="3"/>
        <v>#DIV/0!</v>
      </c>
    </row>
    <row r="13" spans="1:83">
      <c r="A13" s="210">
        <f t="shared" si="12"/>
        <v>9</v>
      </c>
      <c r="B13" s="5" t="s">
        <v>79</v>
      </c>
      <c r="C13" s="172"/>
      <c r="D13" s="31">
        <v>1</v>
      </c>
      <c r="E13" s="31" t="s">
        <v>54</v>
      </c>
      <c r="F13" s="31" t="s">
        <v>54</v>
      </c>
      <c r="G13" s="31" t="s">
        <v>54</v>
      </c>
      <c r="H13" s="5" t="s">
        <v>55</v>
      </c>
      <c r="I13" s="5" t="s">
        <v>80</v>
      </c>
      <c r="J13" s="5" t="s">
        <v>57</v>
      </c>
      <c r="K13" s="5">
        <v>592</v>
      </c>
      <c r="L13" s="40">
        <v>589</v>
      </c>
      <c r="M13" s="40"/>
      <c r="N13" s="45">
        <v>1800</v>
      </c>
      <c r="O13" s="45">
        <f t="shared" si="4"/>
        <v>2124</v>
      </c>
      <c r="P13" s="10">
        <f t="shared" si="9"/>
        <v>1251036</v>
      </c>
      <c r="Q13" s="268"/>
      <c r="R13" s="287"/>
      <c r="S13" s="281"/>
      <c r="T13" s="208"/>
      <c r="U13" s="208"/>
      <c r="V13" s="284"/>
      <c r="W13" s="65">
        <v>0.05</v>
      </c>
      <c r="X13" s="49">
        <f t="shared" si="10"/>
        <v>312759</v>
      </c>
      <c r="Y13" s="127" t="s">
        <v>71</v>
      </c>
      <c r="Z13" s="127" t="s">
        <v>202</v>
      </c>
      <c r="AA13" s="148">
        <f t="shared" si="11"/>
        <v>0.95</v>
      </c>
      <c r="AB13" s="49">
        <f t="shared" si="1"/>
        <v>1188484.2</v>
      </c>
      <c r="AC13" s="128" t="s">
        <v>65</v>
      </c>
      <c r="AD13" s="127" t="s">
        <v>202</v>
      </c>
      <c r="AE13" s="10">
        <v>0</v>
      </c>
      <c r="AF13" s="10">
        <f t="shared" si="5"/>
        <v>0</v>
      </c>
      <c r="AG13" s="10">
        <v>0</v>
      </c>
      <c r="AH13" s="10"/>
      <c r="AI13" s="10">
        <v>0</v>
      </c>
      <c r="AJ13" s="10">
        <f t="shared" si="6"/>
        <v>0</v>
      </c>
      <c r="AK13" s="10">
        <v>0</v>
      </c>
      <c r="AL13" s="10"/>
      <c r="AN13" s="1" t="s">
        <v>361</v>
      </c>
      <c r="AO13" s="44">
        <v>0</v>
      </c>
      <c r="AP13" s="44">
        <f>P13</f>
        <v>1251036</v>
      </c>
      <c r="AQ13" s="44">
        <v>0</v>
      </c>
      <c r="AR13" s="44">
        <v>0</v>
      </c>
      <c r="AS13" s="115"/>
      <c r="AT13" s="115"/>
      <c r="AU13" s="115"/>
      <c r="AV13" s="115"/>
      <c r="AW13" s="115"/>
      <c r="AX13" s="257"/>
      <c r="AY13" s="115"/>
      <c r="AZ13" s="115"/>
      <c r="BA13" s="115"/>
      <c r="BB13" s="27"/>
      <c r="BC13" s="27"/>
      <c r="BD13" s="27"/>
      <c r="BE13" s="27"/>
      <c r="BF13" s="27"/>
      <c r="BG13" s="27"/>
      <c r="BH13" s="27"/>
      <c r="BI13" s="27"/>
      <c r="BJ13" s="27"/>
      <c r="BL13" s="15"/>
      <c r="BM13" s="15"/>
      <c r="BO13" s="27"/>
      <c r="BQ13" s="15"/>
      <c r="BS13" s="15"/>
      <c r="BT13" s="15"/>
      <c r="BU13" s="15"/>
      <c r="BV13" s="115"/>
      <c r="BW13" s="115"/>
      <c r="CA13" s="15"/>
      <c r="CB13" s="27"/>
      <c r="CD13" s="62">
        <f t="shared" si="2"/>
        <v>0</v>
      </c>
      <c r="CE13" s="63" t="e">
        <f t="shared" si="3"/>
        <v>#DIV/0!</v>
      </c>
    </row>
    <row r="14" spans="1:83">
      <c r="A14" s="210">
        <f t="shared" si="12"/>
        <v>10</v>
      </c>
      <c r="B14" s="5" t="s">
        <v>81</v>
      </c>
      <c r="C14" s="172"/>
      <c r="D14" s="31">
        <v>1</v>
      </c>
      <c r="E14" s="31" t="s">
        <v>54</v>
      </c>
      <c r="F14" s="31" t="s">
        <v>54</v>
      </c>
      <c r="G14" s="31" t="s">
        <v>54</v>
      </c>
      <c r="H14" s="5" t="s">
        <v>55</v>
      </c>
      <c r="I14" s="5" t="s">
        <v>82</v>
      </c>
      <c r="J14" s="5" t="s">
        <v>57</v>
      </c>
      <c r="K14" s="5">
        <v>232</v>
      </c>
      <c r="L14" s="40">
        <v>239</v>
      </c>
      <c r="M14" s="40"/>
      <c r="N14" s="45">
        <v>1800</v>
      </c>
      <c r="O14" s="45">
        <f t="shared" si="4"/>
        <v>2124</v>
      </c>
      <c r="P14" s="10">
        <f t="shared" si="9"/>
        <v>507636</v>
      </c>
      <c r="Q14" s="268"/>
      <c r="R14" s="288"/>
      <c r="S14" s="282"/>
      <c r="T14" s="209"/>
      <c r="U14" s="209"/>
      <c r="V14" s="285"/>
      <c r="W14" s="65">
        <v>0.05</v>
      </c>
      <c r="X14" s="49">
        <f t="shared" si="10"/>
        <v>126909</v>
      </c>
      <c r="Y14" s="127" t="s">
        <v>71</v>
      </c>
      <c r="Z14" s="127" t="s">
        <v>202</v>
      </c>
      <c r="AA14" s="148">
        <f t="shared" si="11"/>
        <v>0.95</v>
      </c>
      <c r="AB14" s="49">
        <f t="shared" si="1"/>
        <v>482254.19999999995</v>
      </c>
      <c r="AC14" s="128" t="s">
        <v>65</v>
      </c>
      <c r="AD14" s="127" t="s">
        <v>202</v>
      </c>
      <c r="AE14" s="10">
        <v>0</v>
      </c>
      <c r="AF14" s="10">
        <f t="shared" si="5"/>
        <v>0</v>
      </c>
      <c r="AG14" s="10">
        <v>0</v>
      </c>
      <c r="AH14" s="10"/>
      <c r="AI14" s="10">
        <v>0</v>
      </c>
      <c r="AJ14" s="10">
        <f t="shared" si="6"/>
        <v>0</v>
      </c>
      <c r="AK14" s="10">
        <v>0</v>
      </c>
      <c r="AL14" s="10"/>
      <c r="AN14" s="1" t="s">
        <v>361</v>
      </c>
      <c r="AO14" s="44">
        <v>0</v>
      </c>
      <c r="AP14" s="44">
        <f>P14</f>
        <v>507636</v>
      </c>
      <c r="AQ14" s="44">
        <v>0</v>
      </c>
      <c r="AR14" s="44">
        <v>0</v>
      </c>
      <c r="AS14" s="115"/>
      <c r="AT14" s="115"/>
      <c r="AU14" s="115"/>
      <c r="AV14" s="115"/>
      <c r="AW14" s="115"/>
      <c r="AX14" s="257"/>
      <c r="AY14" s="115"/>
      <c r="AZ14" s="115"/>
      <c r="BA14" s="115"/>
      <c r="BB14" s="27"/>
      <c r="BC14" s="27"/>
      <c r="BD14" s="27"/>
      <c r="BE14" s="27"/>
      <c r="BF14" s="27"/>
      <c r="BG14" s="27"/>
      <c r="BH14" s="27"/>
      <c r="BI14" s="27"/>
      <c r="BJ14" s="27"/>
      <c r="BL14" s="15"/>
      <c r="BM14" s="15"/>
      <c r="BO14" s="27"/>
      <c r="BQ14" s="15"/>
      <c r="BS14" s="15"/>
      <c r="BT14" s="15"/>
      <c r="BU14" s="15"/>
      <c r="BV14" s="115"/>
      <c r="BW14" s="115"/>
      <c r="CA14" s="15"/>
      <c r="CB14" s="27"/>
      <c r="CD14" s="62">
        <f t="shared" si="2"/>
        <v>0</v>
      </c>
      <c r="CE14" s="63" t="e">
        <f t="shared" si="3"/>
        <v>#DIV/0!</v>
      </c>
    </row>
    <row r="15" spans="1:83">
      <c r="A15" s="210">
        <v>11</v>
      </c>
      <c r="B15" s="5" t="s">
        <v>83</v>
      </c>
      <c r="C15" s="172"/>
      <c r="D15" s="31">
        <v>1</v>
      </c>
      <c r="E15" s="31"/>
      <c r="F15" s="31" t="s">
        <v>53</v>
      </c>
      <c r="G15" s="31" t="s">
        <v>54</v>
      </c>
      <c r="H15" s="5" t="s">
        <v>55</v>
      </c>
      <c r="I15" s="5" t="s">
        <v>56</v>
      </c>
      <c r="J15" s="5" t="s">
        <v>57</v>
      </c>
      <c r="K15" s="10">
        <v>430</v>
      </c>
      <c r="L15" s="11">
        <v>450</v>
      </c>
      <c r="M15" s="11"/>
      <c r="N15" s="45">
        <f>2070/118*100</f>
        <v>1754.2372881355932</v>
      </c>
      <c r="O15" s="45">
        <v>2070</v>
      </c>
      <c r="P15" s="10">
        <f t="shared" ref="P15" si="13">IFERROR(L15*O15,0)</f>
        <v>931500</v>
      </c>
      <c r="Q15" s="45">
        <f>213140+213140+213140+213140</f>
        <v>852560</v>
      </c>
      <c r="R15" s="13">
        <f>19735+19735+19735+19735</f>
        <v>78940</v>
      </c>
      <c r="S15" s="157">
        <f t="shared" ref="S15:S49" si="14">P15-Q15-R15</f>
        <v>0</v>
      </c>
      <c r="T15" s="157"/>
      <c r="U15" s="157"/>
      <c r="V15" s="154">
        <f t="shared" ref="V15" si="15">SUM(Q15:R15)/P15</f>
        <v>1</v>
      </c>
      <c r="W15" s="65">
        <v>0.25</v>
      </c>
      <c r="X15" s="126">
        <f>P15*W15</f>
        <v>232875</v>
      </c>
      <c r="Y15" s="129" t="s">
        <v>65</v>
      </c>
      <c r="Z15" s="129" t="s">
        <v>202</v>
      </c>
      <c r="AA15" s="148">
        <v>0.25</v>
      </c>
      <c r="AB15" s="126">
        <f t="shared" si="1"/>
        <v>232875</v>
      </c>
      <c r="AC15" s="129" t="s">
        <v>84</v>
      </c>
      <c r="AD15" s="129" t="s">
        <v>164</v>
      </c>
      <c r="AE15" s="65">
        <v>0.25</v>
      </c>
      <c r="AF15" s="126">
        <f t="shared" si="5"/>
        <v>232875</v>
      </c>
      <c r="AG15" s="174" t="s">
        <v>85</v>
      </c>
      <c r="AH15" s="174" t="s">
        <v>164</v>
      </c>
      <c r="AI15" s="191">
        <v>0.25</v>
      </c>
      <c r="AJ15" s="176">
        <f t="shared" si="6"/>
        <v>232875</v>
      </c>
      <c r="AK15" s="192" t="s">
        <v>75</v>
      </c>
      <c r="AL15" s="192" t="s">
        <v>202</v>
      </c>
      <c r="AN15" s="1" t="s">
        <v>361</v>
      </c>
      <c r="AO15" s="44">
        <v>0</v>
      </c>
      <c r="AP15" s="44">
        <f t="shared" ref="AP15:AP20" si="16">Q15+R15</f>
        <v>931500</v>
      </c>
      <c r="AQ15" s="44">
        <v>0</v>
      </c>
      <c r="AR15" s="44">
        <f t="shared" ref="AR15:AR21" si="17">S15</f>
        <v>0</v>
      </c>
      <c r="AS15" s="115"/>
      <c r="AT15" s="115"/>
      <c r="AU15" s="115"/>
      <c r="AV15" s="115"/>
      <c r="AW15" s="115"/>
      <c r="AX15" s="257"/>
      <c r="AY15" s="115"/>
      <c r="AZ15" s="115"/>
      <c r="BA15" s="115"/>
      <c r="BB15" s="27"/>
      <c r="BC15" s="27"/>
      <c r="BD15" s="27"/>
      <c r="BE15" s="27"/>
      <c r="BF15" s="27"/>
      <c r="BG15" s="27"/>
      <c r="BH15" s="27"/>
      <c r="BI15" s="27"/>
      <c r="BJ15" s="27"/>
      <c r="BL15" s="15"/>
      <c r="BM15" s="15"/>
      <c r="BO15" s="27"/>
      <c r="BQ15" s="15"/>
      <c r="BS15" s="15"/>
      <c r="BT15" s="15"/>
      <c r="BU15" s="15"/>
      <c r="BV15" s="115"/>
      <c r="BW15" s="115"/>
      <c r="CA15" s="15"/>
      <c r="CB15" s="27"/>
      <c r="CD15" s="62">
        <f t="shared" si="2"/>
        <v>0</v>
      </c>
      <c r="CE15" s="63" t="e">
        <f t="shared" si="3"/>
        <v>#DIV/0!</v>
      </c>
    </row>
    <row r="16" spans="1:83">
      <c r="A16" s="210">
        <f t="shared" si="12"/>
        <v>12</v>
      </c>
      <c r="B16" s="254" t="s">
        <v>86</v>
      </c>
      <c r="C16" s="172"/>
      <c r="D16" s="31">
        <v>1</v>
      </c>
      <c r="E16" s="31"/>
      <c r="F16" s="31" t="s">
        <v>53</v>
      </c>
      <c r="G16" s="31" t="s">
        <v>54</v>
      </c>
      <c r="H16" s="5" t="s">
        <v>55</v>
      </c>
      <c r="I16" s="5" t="s">
        <v>87</v>
      </c>
      <c r="J16" s="5" t="s">
        <v>57</v>
      </c>
      <c r="K16" s="10">
        <v>200</v>
      </c>
      <c r="L16" s="11">
        <v>175</v>
      </c>
      <c r="M16" s="11"/>
      <c r="N16" s="45">
        <f>2360/118*100</f>
        <v>2000</v>
      </c>
      <c r="O16" s="45">
        <f t="shared" ref="O16:O29" si="18">N16*1.18</f>
        <v>2360</v>
      </c>
      <c r="P16" s="10">
        <f t="shared" ref="P16:P28" si="19">IFERROR(L16*O16,0)</f>
        <v>413000</v>
      </c>
      <c r="Q16" s="45">
        <f>203000</f>
        <v>203000</v>
      </c>
      <c r="R16" s="13">
        <f>3500</f>
        <v>3500</v>
      </c>
      <c r="S16" s="157">
        <f>P16-Q16-R16-T16-U16</f>
        <v>0</v>
      </c>
      <c r="T16" s="45">
        <f>203000</f>
        <v>203000</v>
      </c>
      <c r="U16" s="13">
        <f>3500</f>
        <v>3500</v>
      </c>
      <c r="V16" s="154">
        <f>(Q16+R16+T16+U16)/P16</f>
        <v>1</v>
      </c>
      <c r="W16" s="65">
        <v>0.5</v>
      </c>
      <c r="X16" s="126">
        <f>P16*W16</f>
        <v>206500</v>
      </c>
      <c r="Y16" s="129" t="s">
        <v>65</v>
      </c>
      <c r="Z16" s="129" t="s">
        <v>202</v>
      </c>
      <c r="AA16" s="175">
        <v>0.5</v>
      </c>
      <c r="AB16" s="176">
        <f t="shared" si="1"/>
        <v>206500</v>
      </c>
      <c r="AC16" s="190" t="s">
        <v>58</v>
      </c>
      <c r="AD16" s="190" t="s">
        <v>164</v>
      </c>
      <c r="AE16" s="13">
        <v>0</v>
      </c>
      <c r="AF16" s="13">
        <v>0</v>
      </c>
      <c r="AG16" s="13">
        <v>0</v>
      </c>
      <c r="AH16" s="13"/>
      <c r="AI16" s="13">
        <v>0</v>
      </c>
      <c r="AJ16" s="13">
        <v>0</v>
      </c>
      <c r="AK16" s="13">
        <v>0</v>
      </c>
      <c r="AL16" s="13"/>
      <c r="AN16" s="1" t="s">
        <v>361</v>
      </c>
      <c r="AO16" s="44">
        <v>0</v>
      </c>
      <c r="AP16" s="44">
        <f>Q16+R16+T16+U16</f>
        <v>413000</v>
      </c>
      <c r="AQ16" s="44">
        <v>0</v>
      </c>
      <c r="AR16" s="44">
        <f t="shared" si="17"/>
        <v>0</v>
      </c>
      <c r="AS16" s="115"/>
      <c r="AT16" s="115"/>
      <c r="AU16" s="115"/>
      <c r="AV16" s="115"/>
      <c r="AW16" s="115"/>
      <c r="AX16" s="257"/>
      <c r="AY16" s="115"/>
      <c r="AZ16" s="115"/>
      <c r="BA16" s="115"/>
      <c r="BB16" s="27"/>
      <c r="BC16" s="27"/>
      <c r="BD16" s="27"/>
      <c r="BE16" s="27"/>
      <c r="BF16" s="27"/>
      <c r="BG16" s="27"/>
      <c r="BH16" s="27"/>
      <c r="BI16" s="27"/>
      <c r="BJ16" s="27"/>
      <c r="BL16" s="15"/>
      <c r="BM16" s="15"/>
      <c r="BO16" s="27"/>
      <c r="BQ16" s="15"/>
      <c r="BS16" s="15"/>
      <c r="BT16" s="15"/>
      <c r="BU16" s="15"/>
      <c r="BV16" s="115"/>
      <c r="BW16" s="115"/>
      <c r="CA16" s="15"/>
      <c r="CB16" s="27"/>
      <c r="CD16" s="62">
        <f t="shared" si="2"/>
        <v>0</v>
      </c>
      <c r="CE16" s="63" t="e">
        <f t="shared" si="3"/>
        <v>#DIV/0!</v>
      </c>
    </row>
    <row r="17" spans="1:104">
      <c r="A17" s="210">
        <f t="shared" si="12"/>
        <v>13</v>
      </c>
      <c r="B17" s="5" t="s">
        <v>88</v>
      </c>
      <c r="C17" s="172"/>
      <c r="D17" s="31">
        <v>1</v>
      </c>
      <c r="E17" s="31"/>
      <c r="F17" s="31" t="s">
        <v>53</v>
      </c>
      <c r="G17" s="31" t="s">
        <v>54</v>
      </c>
      <c r="H17" s="5" t="s">
        <v>55</v>
      </c>
      <c r="I17" s="5" t="s">
        <v>56</v>
      </c>
      <c r="J17" s="5" t="s">
        <v>57</v>
      </c>
      <c r="K17" s="10">
        <v>350</v>
      </c>
      <c r="L17" s="11">
        <v>363</v>
      </c>
      <c r="M17" s="11"/>
      <c r="N17" s="45">
        <f>2124/118*100</f>
        <v>1800</v>
      </c>
      <c r="O17" s="45">
        <f t="shared" si="18"/>
        <v>2124</v>
      </c>
      <c r="P17" s="10">
        <f t="shared" si="19"/>
        <v>771012</v>
      </c>
      <c r="Q17" s="45">
        <f>77101+303178+378972</f>
        <v>759251</v>
      </c>
      <c r="R17" s="126">
        <f>5227+6534</f>
        <v>11761</v>
      </c>
      <c r="S17" s="158">
        <f t="shared" si="14"/>
        <v>0</v>
      </c>
      <c r="T17" s="158"/>
      <c r="U17" s="158"/>
      <c r="V17" s="155">
        <f t="shared" ref="V17:V47" si="20">SUM(Q17:R17)/P17</f>
        <v>1</v>
      </c>
      <c r="W17" s="65">
        <v>0.1</v>
      </c>
      <c r="X17" s="126">
        <f>P17*W17</f>
        <v>77101.2</v>
      </c>
      <c r="Y17" s="129" t="s">
        <v>65</v>
      </c>
      <c r="Z17" s="129" t="s">
        <v>202</v>
      </c>
      <c r="AA17" s="148">
        <v>0.4</v>
      </c>
      <c r="AB17" s="126">
        <f t="shared" si="1"/>
        <v>308404.8</v>
      </c>
      <c r="AC17" s="129" t="s">
        <v>84</v>
      </c>
      <c r="AD17" s="129" t="s">
        <v>202</v>
      </c>
      <c r="AE17" s="65">
        <v>0.5</v>
      </c>
      <c r="AF17" s="126">
        <f>P17*AE17</f>
        <v>385506</v>
      </c>
      <c r="AG17" s="174" t="s">
        <v>62</v>
      </c>
      <c r="AH17" s="174" t="s">
        <v>266</v>
      </c>
      <c r="AI17" s="13">
        <v>0</v>
      </c>
      <c r="AJ17" s="13">
        <v>0</v>
      </c>
      <c r="AK17" s="13">
        <v>0</v>
      </c>
      <c r="AL17" s="13"/>
      <c r="AN17" s="1" t="s">
        <v>361</v>
      </c>
      <c r="AO17" s="44">
        <v>0</v>
      </c>
      <c r="AP17" s="44">
        <f t="shared" si="16"/>
        <v>771012</v>
      </c>
      <c r="AQ17" s="44">
        <v>0</v>
      </c>
      <c r="AR17" s="44">
        <f t="shared" si="17"/>
        <v>0</v>
      </c>
      <c r="AS17" s="115"/>
      <c r="AT17" s="115"/>
      <c r="AU17" s="115"/>
      <c r="AV17" s="115"/>
      <c r="AW17" s="115"/>
      <c r="AX17" s="257"/>
      <c r="AY17" s="115"/>
      <c r="AZ17" s="115"/>
      <c r="BA17" s="115"/>
      <c r="BB17" s="27"/>
      <c r="BC17" s="27"/>
      <c r="BD17" s="27"/>
      <c r="BE17" s="27"/>
      <c r="BF17" s="27"/>
      <c r="BG17" s="27"/>
      <c r="BH17" s="27"/>
      <c r="BI17" s="27"/>
      <c r="BJ17" s="27"/>
      <c r="BL17" s="15"/>
      <c r="BM17" s="15"/>
      <c r="BO17" s="27"/>
      <c r="BQ17" s="15"/>
      <c r="BS17" s="15"/>
      <c r="BT17" s="15"/>
      <c r="BU17" s="15"/>
      <c r="BV17" s="115"/>
      <c r="BW17" s="115"/>
      <c r="CA17" s="15"/>
      <c r="CB17" s="27"/>
      <c r="CD17" s="62">
        <f t="shared" si="2"/>
        <v>0</v>
      </c>
      <c r="CE17" s="63" t="e">
        <f t="shared" si="3"/>
        <v>#DIV/0!</v>
      </c>
    </row>
    <row r="18" spans="1:104">
      <c r="A18" s="210">
        <f t="shared" si="12"/>
        <v>14</v>
      </c>
      <c r="B18" s="5" t="s">
        <v>89</v>
      </c>
      <c r="C18" s="172"/>
      <c r="D18" s="31">
        <v>1</v>
      </c>
      <c r="E18" s="31"/>
      <c r="F18" s="31" t="s">
        <v>54</v>
      </c>
      <c r="G18" s="31" t="s">
        <v>54</v>
      </c>
      <c r="H18" s="5" t="s">
        <v>55</v>
      </c>
      <c r="I18" s="5" t="s">
        <v>56</v>
      </c>
      <c r="J18" s="5" t="s">
        <v>57</v>
      </c>
      <c r="K18" s="10">
        <v>350</v>
      </c>
      <c r="L18" s="40">
        <v>420</v>
      </c>
      <c r="M18" s="40"/>
      <c r="N18" s="45">
        <f>2000/118*100</f>
        <v>1694.9152542372883</v>
      </c>
      <c r="O18" s="45">
        <f t="shared" si="18"/>
        <v>2000</v>
      </c>
      <c r="P18" s="10">
        <f t="shared" si="19"/>
        <v>840000</v>
      </c>
      <c r="Q18" s="45">
        <f>384407+384407</f>
        <v>768814</v>
      </c>
      <c r="R18" s="13">
        <f>35593+35593</f>
        <v>71186</v>
      </c>
      <c r="S18" s="157">
        <f t="shared" si="14"/>
        <v>0</v>
      </c>
      <c r="T18" s="157"/>
      <c r="U18" s="157"/>
      <c r="V18" s="154">
        <f t="shared" si="20"/>
        <v>1</v>
      </c>
      <c r="W18" s="65">
        <v>0.5</v>
      </c>
      <c r="X18" s="49">
        <f>P18*50%</f>
        <v>420000</v>
      </c>
      <c r="Y18" s="130" t="s">
        <v>65</v>
      </c>
      <c r="Z18" s="130" t="s">
        <v>202</v>
      </c>
      <c r="AA18" s="175">
        <f>1-W18</f>
        <v>0.5</v>
      </c>
      <c r="AB18" s="189">
        <f t="shared" si="1"/>
        <v>420000</v>
      </c>
      <c r="AC18" s="190" t="s">
        <v>62</v>
      </c>
      <c r="AD18" s="190" t="s">
        <v>164</v>
      </c>
      <c r="AE18" s="10">
        <v>0</v>
      </c>
      <c r="AF18" s="10">
        <f>P18*AE18</f>
        <v>0</v>
      </c>
      <c r="AG18" s="10">
        <v>0</v>
      </c>
      <c r="AH18" s="10"/>
      <c r="AI18" s="10">
        <v>0</v>
      </c>
      <c r="AJ18" s="10">
        <f>P18*AI18</f>
        <v>0</v>
      </c>
      <c r="AK18" s="10">
        <v>0</v>
      </c>
      <c r="AL18" s="10"/>
      <c r="AN18" s="1" t="s">
        <v>361</v>
      </c>
      <c r="AO18" s="44">
        <v>0</v>
      </c>
      <c r="AP18" s="44">
        <f t="shared" si="16"/>
        <v>840000</v>
      </c>
      <c r="AQ18" s="44">
        <v>0</v>
      </c>
      <c r="AR18" s="44">
        <f t="shared" si="17"/>
        <v>0</v>
      </c>
      <c r="AS18" s="115"/>
      <c r="AT18" s="115"/>
      <c r="AU18" s="115"/>
      <c r="AV18" s="115"/>
      <c r="AW18" s="115"/>
      <c r="AX18" s="257"/>
      <c r="AY18" s="115"/>
      <c r="AZ18" s="115"/>
      <c r="BA18" s="115"/>
      <c r="BB18" s="27"/>
      <c r="BC18" s="27"/>
      <c r="BD18" s="27"/>
      <c r="BE18" s="27"/>
      <c r="BF18" s="27"/>
      <c r="BG18" s="27"/>
      <c r="BH18" s="27"/>
      <c r="BI18" s="27"/>
      <c r="BJ18" s="27"/>
      <c r="BL18" s="15"/>
      <c r="BM18" s="15"/>
      <c r="BO18" s="27"/>
      <c r="BQ18" s="15"/>
      <c r="BS18" s="15"/>
      <c r="BT18" s="15"/>
      <c r="BU18" s="15"/>
      <c r="BV18" s="115"/>
      <c r="BW18" s="115"/>
      <c r="CA18" s="15"/>
      <c r="CB18" s="27"/>
      <c r="CD18" s="62">
        <f t="shared" si="2"/>
        <v>0</v>
      </c>
      <c r="CE18" s="63" t="e">
        <f t="shared" si="3"/>
        <v>#DIV/0!</v>
      </c>
    </row>
    <row r="19" spans="1:104">
      <c r="A19" s="210">
        <f t="shared" si="12"/>
        <v>15</v>
      </c>
      <c r="B19" s="254" t="s">
        <v>90</v>
      </c>
      <c r="C19" s="172"/>
      <c r="D19" s="31">
        <v>1</v>
      </c>
      <c r="E19" s="31"/>
      <c r="F19" s="31" t="s">
        <v>53</v>
      </c>
      <c r="G19" s="31" t="s">
        <v>54</v>
      </c>
      <c r="H19" s="5" t="s">
        <v>53</v>
      </c>
      <c r="I19" s="5" t="s">
        <v>56</v>
      </c>
      <c r="J19" s="5" t="s">
        <v>57</v>
      </c>
      <c r="K19" s="10">
        <v>400</v>
      </c>
      <c r="L19" s="47">
        <v>343</v>
      </c>
      <c r="M19" s="47"/>
      <c r="N19" s="45">
        <v>2000</v>
      </c>
      <c r="O19" s="45">
        <f t="shared" si="18"/>
        <v>2360</v>
      </c>
      <c r="P19" s="10">
        <f t="shared" si="19"/>
        <v>809480</v>
      </c>
      <c r="Q19" s="45">
        <f>202370+202370+404740</f>
        <v>809480</v>
      </c>
      <c r="R19" s="13">
        <v>0</v>
      </c>
      <c r="S19" s="157">
        <f t="shared" si="14"/>
        <v>0</v>
      </c>
      <c r="T19" s="157"/>
      <c r="U19" s="157"/>
      <c r="V19" s="154">
        <f t="shared" si="20"/>
        <v>1</v>
      </c>
      <c r="W19" s="65">
        <v>0.25</v>
      </c>
      <c r="X19" s="49">
        <f>P19*25%</f>
        <v>202370</v>
      </c>
      <c r="Y19" s="129" t="s">
        <v>65</v>
      </c>
      <c r="Z19" s="129" t="s">
        <v>202</v>
      </c>
      <c r="AA19" s="175">
        <v>0.25</v>
      </c>
      <c r="AB19" s="189">
        <f t="shared" si="1"/>
        <v>202370</v>
      </c>
      <c r="AC19" s="190" t="s">
        <v>84</v>
      </c>
      <c r="AD19" s="190" t="s">
        <v>266</v>
      </c>
      <c r="AE19" s="191">
        <v>0.25</v>
      </c>
      <c r="AF19" s="189">
        <f>P19*AE19</f>
        <v>202370</v>
      </c>
      <c r="AG19" s="192" t="s">
        <v>85</v>
      </c>
      <c r="AH19" s="192" t="s">
        <v>266</v>
      </c>
      <c r="AI19" s="191">
        <v>0.25</v>
      </c>
      <c r="AJ19" s="189">
        <f>P19*AI19</f>
        <v>202370</v>
      </c>
      <c r="AK19" s="192" t="s">
        <v>75</v>
      </c>
      <c r="AL19" s="192" t="s">
        <v>266</v>
      </c>
      <c r="AN19" s="1" t="s">
        <v>361</v>
      </c>
      <c r="AO19" s="44">
        <v>0</v>
      </c>
      <c r="AP19" s="44">
        <f t="shared" si="16"/>
        <v>809480</v>
      </c>
      <c r="AQ19" s="44">
        <v>0</v>
      </c>
      <c r="AR19" s="44">
        <f t="shared" si="17"/>
        <v>0</v>
      </c>
      <c r="AS19" s="115"/>
      <c r="AT19" s="115"/>
      <c r="AU19" s="115"/>
      <c r="AV19" s="115"/>
      <c r="AW19" s="115"/>
      <c r="AX19" s="257"/>
      <c r="AY19" s="115"/>
      <c r="AZ19" s="115"/>
      <c r="BA19" s="115"/>
      <c r="BB19" s="27"/>
      <c r="BC19" s="27"/>
      <c r="BD19" s="27"/>
      <c r="BE19" s="27"/>
      <c r="BF19" s="27"/>
      <c r="BG19" s="27"/>
      <c r="BH19" s="27"/>
      <c r="BI19" s="27"/>
      <c r="BJ19" s="27"/>
      <c r="BL19" s="15"/>
      <c r="BM19" s="15"/>
      <c r="BO19" s="27"/>
      <c r="BQ19" s="15"/>
      <c r="BS19" s="15"/>
      <c r="BT19" s="15"/>
      <c r="BU19" s="15"/>
      <c r="BV19" s="115"/>
      <c r="BW19" s="115"/>
      <c r="CA19" s="15"/>
      <c r="CB19" s="27"/>
      <c r="CD19" s="62">
        <f t="shared" si="2"/>
        <v>0</v>
      </c>
      <c r="CE19" s="63" t="e">
        <f t="shared" si="3"/>
        <v>#DIV/0!</v>
      </c>
    </row>
    <row r="20" spans="1:104">
      <c r="A20" s="210">
        <f t="shared" si="12"/>
        <v>16</v>
      </c>
      <c r="B20" s="5" t="s">
        <v>91</v>
      </c>
      <c r="C20" s="172"/>
      <c r="D20" s="31">
        <v>1</v>
      </c>
      <c r="E20" s="31" t="s">
        <v>54</v>
      </c>
      <c r="F20" s="31" t="s">
        <v>54</v>
      </c>
      <c r="G20" s="31" t="s">
        <v>54</v>
      </c>
      <c r="H20" s="5" t="s">
        <v>55</v>
      </c>
      <c r="I20" s="5" t="s">
        <v>92</v>
      </c>
      <c r="J20" s="5" t="s">
        <v>57</v>
      </c>
      <c r="K20" s="10">
        <v>800</v>
      </c>
      <c r="L20" s="47">
        <v>796</v>
      </c>
      <c r="M20" s="47"/>
      <c r="N20" s="45">
        <f>1200/118*100</f>
        <v>1016.9491525423729</v>
      </c>
      <c r="O20" s="45">
        <f t="shared" si="18"/>
        <v>1200</v>
      </c>
      <c r="P20" s="10">
        <f t="shared" si="19"/>
        <v>955200</v>
      </c>
      <c r="Q20" s="45">
        <f>291417+291417+291417</f>
        <v>874251</v>
      </c>
      <c r="R20" s="13">
        <f>26983+26983+26983</f>
        <v>80949</v>
      </c>
      <c r="S20" s="157">
        <f t="shared" si="14"/>
        <v>0</v>
      </c>
      <c r="T20" s="157"/>
      <c r="U20" s="157"/>
      <c r="V20" s="154">
        <f t="shared" si="20"/>
        <v>1</v>
      </c>
      <c r="W20" s="65">
        <v>0.33329999999999999</v>
      </c>
      <c r="X20" s="49">
        <f>P20/3</f>
        <v>318400</v>
      </c>
      <c r="Y20" s="130" t="s">
        <v>65</v>
      </c>
      <c r="Z20" s="130" t="s">
        <v>202</v>
      </c>
      <c r="AA20" s="148">
        <v>0.33329999999999999</v>
      </c>
      <c r="AB20" s="49">
        <f>P20/3</f>
        <v>318400</v>
      </c>
      <c r="AC20" s="129" t="s">
        <v>66</v>
      </c>
      <c r="AD20" s="129" t="s">
        <v>202</v>
      </c>
      <c r="AE20" s="148">
        <v>0.33329999999999999</v>
      </c>
      <c r="AF20" s="49">
        <f>P20/3</f>
        <v>318400</v>
      </c>
      <c r="AG20" s="129" t="s">
        <v>93</v>
      </c>
      <c r="AH20" s="129" t="s">
        <v>164</v>
      </c>
      <c r="AI20" s="10">
        <v>0</v>
      </c>
      <c r="AJ20" s="10">
        <f>P20*AI20</f>
        <v>0</v>
      </c>
      <c r="AK20" s="10">
        <v>0</v>
      </c>
      <c r="AL20" s="10"/>
      <c r="AN20" s="1" t="s">
        <v>361</v>
      </c>
      <c r="AO20" s="44">
        <v>0</v>
      </c>
      <c r="AP20" s="44">
        <f t="shared" si="16"/>
        <v>955200</v>
      </c>
      <c r="AQ20" s="44">
        <v>0</v>
      </c>
      <c r="AR20" s="44">
        <f t="shared" si="17"/>
        <v>0</v>
      </c>
      <c r="AS20" s="115"/>
      <c r="AT20" s="115"/>
      <c r="AU20" s="115"/>
      <c r="AV20" s="115"/>
      <c r="AW20" s="115"/>
      <c r="AX20" s="257"/>
      <c r="AY20" s="115"/>
      <c r="AZ20" s="115"/>
      <c r="BA20" s="115"/>
      <c r="BB20" s="27"/>
      <c r="BC20" s="27"/>
      <c r="BD20" s="27"/>
      <c r="BE20" s="27"/>
      <c r="BF20" s="27"/>
      <c r="BG20" s="27"/>
      <c r="BH20" s="27"/>
      <c r="BI20" s="27"/>
      <c r="BJ20" s="27"/>
      <c r="BL20" s="15"/>
      <c r="BM20" s="15"/>
      <c r="BO20" s="27"/>
      <c r="BQ20" s="15"/>
      <c r="BS20" s="15"/>
      <c r="BT20" s="15"/>
      <c r="BU20" s="15"/>
      <c r="BV20" s="115"/>
      <c r="BW20" s="115"/>
      <c r="CA20" s="15"/>
      <c r="CB20" s="27"/>
      <c r="CD20" s="62">
        <f t="shared" si="2"/>
        <v>0</v>
      </c>
      <c r="CE20" s="63" t="e">
        <f t="shared" si="3"/>
        <v>#DIV/0!</v>
      </c>
    </row>
    <row r="21" spans="1:104">
      <c r="A21" s="210">
        <f t="shared" si="12"/>
        <v>17</v>
      </c>
      <c r="B21" s="254" t="s">
        <v>94</v>
      </c>
      <c r="C21" s="172"/>
      <c r="D21" s="31">
        <v>1</v>
      </c>
      <c r="E21" s="31" t="s">
        <v>54</v>
      </c>
      <c r="F21" s="31" t="s">
        <v>54</v>
      </c>
      <c r="G21" s="31" t="s">
        <v>54</v>
      </c>
      <c r="H21" s="5" t="s">
        <v>55</v>
      </c>
      <c r="I21" s="5" t="s">
        <v>56</v>
      </c>
      <c r="J21" s="5" t="s">
        <v>57</v>
      </c>
      <c r="K21" s="10">
        <v>250</v>
      </c>
      <c r="L21" s="11">
        <v>191</v>
      </c>
      <c r="M21" s="11"/>
      <c r="N21" s="45">
        <f>2500/118*100</f>
        <v>2118.6440677966102</v>
      </c>
      <c r="O21" s="45">
        <f>N21*1.18</f>
        <v>2500</v>
      </c>
      <c r="P21" s="10">
        <f t="shared" si="19"/>
        <v>477500</v>
      </c>
      <c r="Q21" s="45">
        <f>236250+238750</f>
        <v>475000</v>
      </c>
      <c r="R21" s="13">
        <v>2500</v>
      </c>
      <c r="S21" s="157">
        <f t="shared" si="14"/>
        <v>0</v>
      </c>
      <c r="T21" s="157"/>
      <c r="U21" s="157"/>
      <c r="V21" s="154">
        <f t="shared" si="20"/>
        <v>1</v>
      </c>
      <c r="W21" s="65">
        <v>0.5</v>
      </c>
      <c r="X21" s="126">
        <f>P21*W21</f>
        <v>238750</v>
      </c>
      <c r="Y21" s="130" t="s">
        <v>65</v>
      </c>
      <c r="Z21" s="130" t="s">
        <v>202</v>
      </c>
      <c r="AA21" s="175">
        <f>1-W21</f>
        <v>0.5</v>
      </c>
      <c r="AB21" s="189">
        <f>P21*AA21</f>
        <v>238750</v>
      </c>
      <c r="AC21" s="190" t="s">
        <v>62</v>
      </c>
      <c r="AD21" s="190" t="s">
        <v>164</v>
      </c>
      <c r="AE21" s="10">
        <v>0</v>
      </c>
      <c r="AF21" s="10">
        <f>P21*AE21</f>
        <v>0</v>
      </c>
      <c r="AG21" s="10">
        <v>0</v>
      </c>
      <c r="AH21" s="10"/>
      <c r="AI21" s="10">
        <v>0</v>
      </c>
      <c r="AJ21" s="10">
        <f>P21*AI21</f>
        <v>0</v>
      </c>
      <c r="AK21" s="10">
        <v>0</v>
      </c>
      <c r="AL21" s="10"/>
      <c r="AN21" s="1" t="s">
        <v>361</v>
      </c>
      <c r="AO21" s="44">
        <v>0</v>
      </c>
      <c r="AP21" s="44">
        <f>Q21+R21-1</f>
        <v>477499</v>
      </c>
      <c r="AQ21" s="44">
        <v>0</v>
      </c>
      <c r="AR21" s="44">
        <f t="shared" si="17"/>
        <v>0</v>
      </c>
      <c r="AS21" s="115"/>
      <c r="AT21" s="115"/>
      <c r="AU21" s="115"/>
      <c r="AV21" s="115"/>
      <c r="AW21" s="115"/>
      <c r="AX21" s="257"/>
      <c r="AY21" s="115"/>
      <c r="AZ21" s="115"/>
      <c r="BA21" s="115"/>
      <c r="BB21" s="27"/>
      <c r="BC21" s="27"/>
      <c r="BD21" s="27"/>
      <c r="BE21" s="27"/>
      <c r="BF21" s="27"/>
      <c r="BG21" s="27"/>
      <c r="BH21" s="27"/>
      <c r="BI21" s="27"/>
      <c r="BJ21" s="27"/>
      <c r="BL21" s="15"/>
      <c r="BM21" s="15"/>
      <c r="BO21" s="27"/>
      <c r="BQ21" s="15"/>
      <c r="BS21" s="15"/>
      <c r="BT21" s="15"/>
      <c r="BU21" s="15"/>
      <c r="BV21" s="115"/>
      <c r="BW21" s="115"/>
      <c r="CA21" s="15"/>
      <c r="CB21" s="27"/>
      <c r="CD21" s="62">
        <f t="shared" si="2"/>
        <v>0</v>
      </c>
      <c r="CE21" s="63" t="e">
        <f t="shared" si="3"/>
        <v>#DIV/0!</v>
      </c>
    </row>
    <row r="22" spans="1:104">
      <c r="A22" s="210">
        <f t="shared" si="12"/>
        <v>18</v>
      </c>
      <c r="B22" s="5" t="s">
        <v>95</v>
      </c>
      <c r="C22" s="172"/>
      <c r="D22" s="31">
        <v>1</v>
      </c>
      <c r="E22" s="31" t="s">
        <v>54</v>
      </c>
      <c r="F22" s="31" t="s">
        <v>54</v>
      </c>
      <c r="G22" s="31" t="s">
        <v>54</v>
      </c>
      <c r="H22" s="5" t="s">
        <v>55</v>
      </c>
      <c r="I22" s="5" t="s">
        <v>56</v>
      </c>
      <c r="J22" s="5" t="s">
        <v>57</v>
      </c>
      <c r="K22" s="10">
        <v>450</v>
      </c>
      <c r="L22" s="5">
        <f>162+156+120</f>
        <v>438</v>
      </c>
      <c r="M22" s="5"/>
      <c r="N22" s="45">
        <f>1200/118*100</f>
        <v>1016.9491525423729</v>
      </c>
      <c r="O22" s="45">
        <f t="shared" si="18"/>
        <v>1200</v>
      </c>
      <c r="P22" s="10">
        <f t="shared" si="19"/>
        <v>525600</v>
      </c>
      <c r="Q22" s="45">
        <f>129174+129174+129174+129174</f>
        <v>516696</v>
      </c>
      <c r="R22" s="13">
        <f>2227+2227+2227+2227</f>
        <v>8908</v>
      </c>
      <c r="S22" s="157">
        <f t="shared" si="14"/>
        <v>-4</v>
      </c>
      <c r="T22" s="157"/>
      <c r="U22" s="157"/>
      <c r="V22" s="154">
        <f t="shared" si="20"/>
        <v>1.0000076103500761</v>
      </c>
      <c r="W22" s="65">
        <v>0.25</v>
      </c>
      <c r="X22" s="49">
        <f>P22*25%</f>
        <v>131400</v>
      </c>
      <c r="Y22" s="130" t="s">
        <v>65</v>
      </c>
      <c r="Z22" s="130" t="s">
        <v>202</v>
      </c>
      <c r="AA22" s="148">
        <v>0.25</v>
      </c>
      <c r="AB22" s="49">
        <f>P22*AA22</f>
        <v>131400</v>
      </c>
      <c r="AC22" s="129" t="s">
        <v>66</v>
      </c>
      <c r="AD22" s="129" t="s">
        <v>164</v>
      </c>
      <c r="AE22" s="65">
        <v>0.25</v>
      </c>
      <c r="AF22" s="49">
        <f>P22*AE22</f>
        <v>131400</v>
      </c>
      <c r="AG22" s="128" t="s">
        <v>62</v>
      </c>
      <c r="AH22" s="128" t="s">
        <v>164</v>
      </c>
      <c r="AI22" s="65">
        <v>0.25</v>
      </c>
      <c r="AJ22" s="49">
        <f>P22*AI22</f>
        <v>131400</v>
      </c>
      <c r="AK22" s="128" t="s">
        <v>63</v>
      </c>
      <c r="AL22" s="174" t="s">
        <v>266</v>
      </c>
      <c r="AN22" s="1" t="s">
        <v>361</v>
      </c>
      <c r="AO22" s="44">
        <v>0</v>
      </c>
      <c r="AP22" s="44">
        <f>Q22+R22+1</f>
        <v>525605</v>
      </c>
      <c r="AQ22" s="44">
        <v>0</v>
      </c>
      <c r="AR22" s="44">
        <v>0</v>
      </c>
      <c r="AS22" s="115"/>
      <c r="AT22" s="115"/>
      <c r="AU22" s="115"/>
      <c r="AV22" s="115"/>
      <c r="AW22" s="115"/>
      <c r="AX22" s="257"/>
      <c r="AY22" s="115"/>
      <c r="AZ22" s="115"/>
      <c r="BA22" s="115"/>
      <c r="BB22" s="27"/>
      <c r="BC22" s="27"/>
      <c r="BD22" s="27"/>
      <c r="BE22" s="27"/>
      <c r="BF22" s="27"/>
      <c r="BG22" s="27"/>
      <c r="BH22" s="27"/>
      <c r="BI22" s="27"/>
      <c r="BJ22" s="27"/>
      <c r="BL22" s="15"/>
      <c r="BM22" s="15"/>
      <c r="BO22" s="27"/>
      <c r="BQ22" s="15"/>
      <c r="BS22" s="15"/>
      <c r="BT22" s="15"/>
      <c r="BU22" s="15"/>
      <c r="BV22" s="115"/>
      <c r="BW22" s="115"/>
      <c r="CA22" s="15"/>
      <c r="CB22" s="27"/>
      <c r="CD22" s="62">
        <f t="shared" si="2"/>
        <v>0</v>
      </c>
      <c r="CE22" s="63" t="e">
        <f t="shared" si="3"/>
        <v>#DIV/0!</v>
      </c>
    </row>
    <row r="23" spans="1:104">
      <c r="A23" s="210">
        <f t="shared" si="12"/>
        <v>19</v>
      </c>
      <c r="B23" s="5" t="s">
        <v>96</v>
      </c>
      <c r="C23" s="172"/>
      <c r="D23" s="31">
        <v>1</v>
      </c>
      <c r="E23" s="31" t="s">
        <v>54</v>
      </c>
      <c r="F23" s="31" t="s">
        <v>54</v>
      </c>
      <c r="G23" s="31" t="s">
        <v>54</v>
      </c>
      <c r="H23" s="5" t="s">
        <v>55</v>
      </c>
      <c r="I23" s="5" t="s">
        <v>97</v>
      </c>
      <c r="J23" s="5" t="s">
        <v>57</v>
      </c>
      <c r="K23" s="10">
        <v>200</v>
      </c>
      <c r="L23" s="11">
        <f>30+35+39+26+21+17+11+4</f>
        <v>183</v>
      </c>
      <c r="M23" s="11"/>
      <c r="N23" s="45">
        <f>1200/118*100</f>
        <v>1016.9491525423729</v>
      </c>
      <c r="O23" s="45">
        <f t="shared" si="18"/>
        <v>1200</v>
      </c>
      <c r="P23" s="10">
        <f t="shared" si="19"/>
        <v>219600</v>
      </c>
      <c r="Q23" s="45">
        <f>30000+59600+20000</f>
        <v>109600</v>
      </c>
      <c r="R23" s="13"/>
      <c r="S23" s="157">
        <f>P23-Q23-R23-T23</f>
        <v>89800</v>
      </c>
      <c r="T23" s="157">
        <v>20200</v>
      </c>
      <c r="U23" s="157"/>
      <c r="V23" s="154">
        <f t="shared" si="20"/>
        <v>0.49908925318761382</v>
      </c>
      <c r="W23" s="191">
        <v>0.5</v>
      </c>
      <c r="X23" s="176">
        <f t="shared" ref="X23:X28" si="21">P23*W23</f>
        <v>109800</v>
      </c>
      <c r="Y23" s="204" t="s">
        <v>65</v>
      </c>
      <c r="Z23" s="204" t="s">
        <v>202</v>
      </c>
      <c r="AA23" s="179">
        <v>0.5</v>
      </c>
      <c r="AB23" s="178">
        <f>P23*AA23</f>
        <v>109800</v>
      </c>
      <c r="AC23" s="166" t="s">
        <v>62</v>
      </c>
      <c r="AD23" s="166" t="s">
        <v>266</v>
      </c>
      <c r="AE23" s="20">
        <v>0</v>
      </c>
      <c r="AF23" s="10">
        <v>0</v>
      </c>
      <c r="AG23" s="23">
        <v>0</v>
      </c>
      <c r="AH23" s="23"/>
      <c r="AI23" s="20">
        <v>0</v>
      </c>
      <c r="AJ23" s="10">
        <v>0</v>
      </c>
      <c r="AK23" s="23">
        <v>0</v>
      </c>
      <c r="AL23" s="23"/>
      <c r="AN23" s="1" t="s">
        <v>361</v>
      </c>
      <c r="AO23" s="44">
        <v>20000</v>
      </c>
      <c r="AP23" s="44">
        <v>109800</v>
      </c>
      <c r="AQ23" s="44">
        <v>0</v>
      </c>
      <c r="AR23" s="44">
        <f>S23</f>
        <v>89800</v>
      </c>
      <c r="AS23" s="115"/>
      <c r="AT23" s="115"/>
      <c r="AU23" s="115"/>
      <c r="AV23" s="115"/>
      <c r="AW23" s="115"/>
      <c r="AX23" s="257"/>
      <c r="AY23" s="115"/>
      <c r="AZ23" s="115"/>
      <c r="BA23" s="115"/>
      <c r="BB23" s="27"/>
      <c r="BC23" s="27"/>
      <c r="BD23" s="27"/>
      <c r="BE23" s="27"/>
      <c r="BF23" s="27"/>
      <c r="BG23" s="27"/>
      <c r="BH23" s="27"/>
      <c r="BI23" s="27"/>
      <c r="BJ23" s="27"/>
      <c r="BL23" s="15"/>
      <c r="BM23" s="15"/>
      <c r="BO23" s="27"/>
      <c r="BQ23" s="15"/>
      <c r="BS23" s="15"/>
      <c r="BT23" s="15"/>
      <c r="BU23" s="15"/>
      <c r="BV23" s="115"/>
      <c r="BW23" s="115"/>
      <c r="CA23" s="15"/>
      <c r="CB23" s="27"/>
      <c r="CD23" s="62">
        <f t="shared" si="2"/>
        <v>0</v>
      </c>
      <c r="CE23" s="63" t="e">
        <f t="shared" si="3"/>
        <v>#DIV/0!</v>
      </c>
    </row>
    <row r="24" spans="1:104">
      <c r="A24" s="210">
        <f t="shared" si="12"/>
        <v>20</v>
      </c>
      <c r="B24" s="5" t="s">
        <v>98</v>
      </c>
      <c r="C24" s="172"/>
      <c r="D24" s="31">
        <v>1</v>
      </c>
      <c r="E24" s="31"/>
      <c r="F24" s="31" t="s">
        <v>53</v>
      </c>
      <c r="G24" s="31" t="s">
        <v>54</v>
      </c>
      <c r="H24" s="5" t="s">
        <v>55</v>
      </c>
      <c r="I24" s="5" t="s">
        <v>56</v>
      </c>
      <c r="J24" s="5" t="s">
        <v>57</v>
      </c>
      <c r="K24" s="10">
        <v>50</v>
      </c>
      <c r="L24" s="5">
        <v>41</v>
      </c>
      <c r="M24" s="5"/>
      <c r="N24" s="45">
        <v>2542.37</v>
      </c>
      <c r="O24" s="45">
        <f t="shared" si="18"/>
        <v>2999.9965999999995</v>
      </c>
      <c r="P24" s="10">
        <f t="shared" si="19"/>
        <v>122999.86059999999</v>
      </c>
      <c r="Q24" s="45">
        <f>120915</f>
        <v>120915</v>
      </c>
      <c r="R24" s="13">
        <f>2085</f>
        <v>2085</v>
      </c>
      <c r="S24" s="157">
        <f t="shared" si="14"/>
        <v>-0.1394000000145752</v>
      </c>
      <c r="T24" s="157"/>
      <c r="U24" s="157"/>
      <c r="V24" s="154">
        <f t="shared" si="20"/>
        <v>1.0000011333346179</v>
      </c>
      <c r="W24" s="65">
        <v>1</v>
      </c>
      <c r="X24" s="126">
        <f t="shared" si="21"/>
        <v>122999.86059999999</v>
      </c>
      <c r="Y24" s="130" t="s">
        <v>65</v>
      </c>
      <c r="Z24" s="130" t="s">
        <v>202</v>
      </c>
      <c r="AA24" s="151">
        <v>0</v>
      </c>
      <c r="AB24" s="13">
        <v>0</v>
      </c>
      <c r="AC24" s="13">
        <v>0</v>
      </c>
      <c r="AD24" s="13"/>
      <c r="AE24" s="13">
        <v>0</v>
      </c>
      <c r="AF24" s="13">
        <v>0</v>
      </c>
      <c r="AG24" s="13">
        <v>0</v>
      </c>
      <c r="AH24" s="13"/>
      <c r="AI24" s="13">
        <v>0</v>
      </c>
      <c r="AJ24" s="13">
        <v>0</v>
      </c>
      <c r="AK24" s="13">
        <v>0</v>
      </c>
      <c r="AL24" s="13"/>
      <c r="AN24" s="1" t="s">
        <v>361</v>
      </c>
      <c r="AO24" s="44">
        <v>0</v>
      </c>
      <c r="AP24" s="44">
        <f t="shared" ref="AP24:AP30" si="22">Q24+R24</f>
        <v>123000</v>
      </c>
      <c r="AQ24" s="44">
        <v>0</v>
      </c>
      <c r="AR24" s="44">
        <v>0</v>
      </c>
      <c r="AS24" s="115"/>
      <c r="AT24" s="115"/>
      <c r="AU24" s="115"/>
      <c r="AV24" s="115"/>
      <c r="AW24" s="115"/>
      <c r="AX24" s="257"/>
      <c r="AY24" s="115"/>
      <c r="AZ24" s="115"/>
      <c r="BA24" s="115"/>
      <c r="BB24" s="27"/>
      <c r="BC24" s="27"/>
      <c r="BD24" s="27"/>
      <c r="BE24" s="27"/>
      <c r="BF24" s="27"/>
      <c r="BG24" s="27"/>
      <c r="BH24" s="27"/>
      <c r="BI24" s="27"/>
      <c r="BJ24" s="27"/>
      <c r="BL24" s="15"/>
      <c r="BM24" s="15"/>
      <c r="BO24" s="27"/>
      <c r="BQ24" s="15"/>
      <c r="BS24" s="15"/>
      <c r="BT24" s="15"/>
      <c r="BU24" s="15"/>
      <c r="BV24" s="115"/>
      <c r="BW24" s="115"/>
      <c r="CA24" s="15"/>
      <c r="CB24" s="27"/>
      <c r="CD24" s="62">
        <f t="shared" si="2"/>
        <v>0</v>
      </c>
      <c r="CE24" s="63" t="e">
        <f t="shared" si="3"/>
        <v>#DIV/0!</v>
      </c>
    </row>
    <row r="25" spans="1:104">
      <c r="A25" s="210">
        <f t="shared" si="12"/>
        <v>21</v>
      </c>
      <c r="B25" s="5" t="s">
        <v>287</v>
      </c>
      <c r="C25" s="5"/>
      <c r="D25" s="31">
        <v>1</v>
      </c>
      <c r="E25" s="31"/>
      <c r="F25" s="31" t="s">
        <v>53</v>
      </c>
      <c r="G25" s="31" t="s">
        <v>54</v>
      </c>
      <c r="H25" s="5" t="s">
        <v>55</v>
      </c>
      <c r="I25" s="5" t="s">
        <v>56</v>
      </c>
      <c r="J25" s="5" t="s">
        <v>57</v>
      </c>
      <c r="K25" s="10">
        <v>10</v>
      </c>
      <c r="L25" s="5">
        <v>11</v>
      </c>
      <c r="M25" s="5"/>
      <c r="N25" s="45">
        <f>2500/118*100</f>
        <v>2118.6440677966102</v>
      </c>
      <c r="O25" s="45">
        <f t="shared" si="18"/>
        <v>2500</v>
      </c>
      <c r="P25" s="10">
        <f t="shared" si="19"/>
        <v>27500</v>
      </c>
      <c r="Q25" s="45">
        <f>X25</f>
        <v>27500</v>
      </c>
      <c r="R25" s="13"/>
      <c r="S25" s="157">
        <f t="shared" si="14"/>
        <v>0</v>
      </c>
      <c r="T25" s="157"/>
      <c r="U25" s="157"/>
      <c r="V25" s="154">
        <f t="shared" si="20"/>
        <v>1</v>
      </c>
      <c r="W25" s="65">
        <v>1</v>
      </c>
      <c r="X25" s="126">
        <f t="shared" si="21"/>
        <v>27500</v>
      </c>
      <c r="Y25" s="130" t="s">
        <v>65</v>
      </c>
      <c r="Z25" s="130" t="s">
        <v>202</v>
      </c>
      <c r="AA25" s="151">
        <v>0</v>
      </c>
      <c r="AB25" s="13">
        <v>0</v>
      </c>
      <c r="AC25" s="13">
        <v>0</v>
      </c>
      <c r="AD25" s="13"/>
      <c r="AE25" s="13">
        <v>0</v>
      </c>
      <c r="AF25" s="13">
        <v>0</v>
      </c>
      <c r="AG25" s="13">
        <v>0</v>
      </c>
      <c r="AH25" s="13"/>
      <c r="AI25" s="13">
        <v>0</v>
      </c>
      <c r="AJ25" s="13">
        <v>0</v>
      </c>
      <c r="AK25" s="13">
        <v>0</v>
      </c>
      <c r="AL25" s="13"/>
      <c r="AN25" s="1" t="s">
        <v>361</v>
      </c>
      <c r="AO25" s="44">
        <v>0</v>
      </c>
      <c r="AP25" s="44">
        <f t="shared" si="22"/>
        <v>27500</v>
      </c>
      <c r="AQ25" s="44">
        <v>0</v>
      </c>
      <c r="AR25" s="44">
        <f>S25</f>
        <v>0</v>
      </c>
      <c r="AS25" s="115"/>
      <c r="AT25" s="115"/>
      <c r="AU25" s="115"/>
      <c r="AV25" s="115"/>
      <c r="AW25" s="115"/>
      <c r="AX25" s="257"/>
      <c r="AY25" s="115"/>
      <c r="AZ25" s="115"/>
      <c r="BA25" s="115"/>
      <c r="BB25" s="27"/>
      <c r="BC25" s="27"/>
      <c r="BD25" s="27"/>
      <c r="BE25" s="27"/>
      <c r="BF25" s="27"/>
      <c r="BG25" s="27"/>
      <c r="BH25" s="27"/>
      <c r="BI25" s="27"/>
      <c r="BJ25" s="27"/>
      <c r="BL25" s="15"/>
      <c r="BM25" s="15"/>
      <c r="BO25" s="27"/>
      <c r="BQ25" s="15"/>
      <c r="BS25" s="15"/>
      <c r="BT25" s="15"/>
      <c r="BU25" s="15"/>
      <c r="BV25" s="115"/>
      <c r="BW25" s="115"/>
      <c r="CA25" s="15"/>
      <c r="CB25" s="27"/>
      <c r="CD25" s="62">
        <f t="shared" si="2"/>
        <v>0</v>
      </c>
      <c r="CE25" s="63" t="e">
        <f t="shared" si="3"/>
        <v>#DIV/0!</v>
      </c>
    </row>
    <row r="26" spans="1:104">
      <c r="A26" s="210">
        <f t="shared" si="12"/>
        <v>22</v>
      </c>
      <c r="B26" s="5" t="s">
        <v>288</v>
      </c>
      <c r="C26" s="172"/>
      <c r="D26" s="31">
        <v>1</v>
      </c>
      <c r="E26" s="31"/>
      <c r="F26" s="31" t="s">
        <v>53</v>
      </c>
      <c r="G26" s="31" t="s">
        <v>54</v>
      </c>
      <c r="H26" s="5" t="s">
        <v>55</v>
      </c>
      <c r="I26" s="5" t="s">
        <v>56</v>
      </c>
      <c r="J26" s="5" t="s">
        <v>57</v>
      </c>
      <c r="K26" s="10">
        <v>60</v>
      </c>
      <c r="L26" s="5">
        <v>67</v>
      </c>
      <c r="M26" s="5"/>
      <c r="N26" s="45">
        <f>2360/118*100</f>
        <v>2000</v>
      </c>
      <c r="O26" s="45">
        <f t="shared" si="18"/>
        <v>2360</v>
      </c>
      <c r="P26" s="10">
        <f t="shared" si="19"/>
        <v>158120</v>
      </c>
      <c r="Q26" s="163">
        <v>158120</v>
      </c>
      <c r="R26" s="13">
        <v>0</v>
      </c>
      <c r="S26" s="157">
        <f t="shared" si="14"/>
        <v>0</v>
      </c>
      <c r="T26" s="157"/>
      <c r="U26" s="157"/>
      <c r="V26" s="154">
        <f>SUM(Q26:Q26)/P26</f>
        <v>1</v>
      </c>
      <c r="W26" s="65">
        <v>1</v>
      </c>
      <c r="X26" s="126">
        <f t="shared" si="21"/>
        <v>158120</v>
      </c>
      <c r="Y26" s="130" t="s">
        <v>65</v>
      </c>
      <c r="Z26" s="130" t="s">
        <v>202</v>
      </c>
      <c r="AA26" s="151">
        <v>0</v>
      </c>
      <c r="AB26" s="13">
        <v>0</v>
      </c>
      <c r="AC26" s="13">
        <v>0</v>
      </c>
      <c r="AD26" s="13"/>
      <c r="AE26" s="13">
        <v>0</v>
      </c>
      <c r="AF26" s="13">
        <v>0</v>
      </c>
      <c r="AG26" s="13">
        <v>0</v>
      </c>
      <c r="AH26" s="13"/>
      <c r="AI26" s="13">
        <v>0</v>
      </c>
      <c r="AJ26" s="13">
        <v>0</v>
      </c>
      <c r="AK26" s="13">
        <v>0</v>
      </c>
      <c r="AL26" s="13"/>
      <c r="AN26" s="1" t="s">
        <v>361</v>
      </c>
      <c r="AO26" s="44">
        <v>0</v>
      </c>
      <c r="AP26" s="44">
        <f t="shared" si="22"/>
        <v>158120</v>
      </c>
      <c r="AQ26" s="44">
        <v>0</v>
      </c>
      <c r="AR26" s="44">
        <f>S26</f>
        <v>0</v>
      </c>
      <c r="AS26" s="115"/>
      <c r="AT26" s="115"/>
      <c r="AU26" s="115"/>
      <c r="AV26" s="115"/>
      <c r="AW26" s="115"/>
      <c r="AX26" s="257"/>
      <c r="AY26" s="115"/>
      <c r="AZ26" s="115"/>
      <c r="BA26" s="115"/>
      <c r="BB26" s="27"/>
      <c r="BC26" s="27"/>
      <c r="BD26" s="27"/>
      <c r="BE26" s="27"/>
      <c r="BF26" s="27"/>
      <c r="BG26" s="27"/>
      <c r="BH26" s="27"/>
      <c r="BI26" s="27"/>
      <c r="BJ26" s="27"/>
      <c r="BL26" s="15"/>
      <c r="BM26" s="15"/>
      <c r="BO26" s="27"/>
      <c r="BQ26" s="15"/>
      <c r="BS26" s="15"/>
      <c r="BT26" s="15"/>
      <c r="BU26" s="15"/>
      <c r="BV26" s="115"/>
      <c r="BW26" s="115"/>
      <c r="CA26" s="15"/>
      <c r="CB26" s="27"/>
      <c r="CD26" s="62">
        <f t="shared" si="2"/>
        <v>0</v>
      </c>
      <c r="CE26" s="63" t="e">
        <f t="shared" si="3"/>
        <v>#DIV/0!</v>
      </c>
    </row>
    <row r="27" spans="1:104">
      <c r="A27" s="210"/>
      <c r="B27" s="5" t="s">
        <v>148</v>
      </c>
      <c r="C27" s="172"/>
      <c r="D27" s="31">
        <v>1</v>
      </c>
      <c r="E27" s="31"/>
      <c r="F27" s="31" t="s">
        <v>53</v>
      </c>
      <c r="G27" s="31" t="s">
        <v>54</v>
      </c>
      <c r="H27" s="5"/>
      <c r="I27" s="5" t="s">
        <v>56</v>
      </c>
      <c r="J27" s="5" t="s">
        <v>57</v>
      </c>
      <c r="K27" s="10">
        <v>20</v>
      </c>
      <c r="L27" s="75">
        <v>21</v>
      </c>
      <c r="M27" s="75">
        <v>20</v>
      </c>
      <c r="N27" s="66">
        <v>1694.92</v>
      </c>
      <c r="O27" s="45">
        <v>2000</v>
      </c>
      <c r="P27" s="10">
        <f t="shared" si="19"/>
        <v>42000</v>
      </c>
      <c r="Q27" s="45">
        <v>42000</v>
      </c>
      <c r="R27" s="13">
        <v>0</v>
      </c>
      <c r="S27" s="157">
        <f t="shared" si="14"/>
        <v>0</v>
      </c>
      <c r="T27" s="157"/>
      <c r="U27" s="157"/>
      <c r="V27" s="154">
        <f t="shared" si="20"/>
        <v>1</v>
      </c>
      <c r="W27" s="65">
        <v>1</v>
      </c>
      <c r="X27" s="126">
        <f t="shared" si="21"/>
        <v>42000</v>
      </c>
      <c r="Y27" s="130"/>
      <c r="Z27" s="130" t="s">
        <v>202</v>
      </c>
      <c r="AA27" s="151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N27" s="1" t="s">
        <v>361</v>
      </c>
      <c r="AO27" s="44">
        <v>0</v>
      </c>
      <c r="AP27" s="44">
        <f t="shared" si="22"/>
        <v>42000</v>
      </c>
      <c r="AQ27" s="44">
        <v>0</v>
      </c>
      <c r="AR27" s="44">
        <f>S27</f>
        <v>0</v>
      </c>
      <c r="AS27" s="115"/>
      <c r="AT27" s="115"/>
      <c r="AU27" s="115"/>
      <c r="AV27" s="115"/>
      <c r="AW27" s="115"/>
      <c r="AX27" s="257"/>
      <c r="AY27" s="115"/>
      <c r="AZ27" s="115"/>
      <c r="BA27" s="115"/>
      <c r="BB27" s="27"/>
      <c r="BC27" s="27"/>
      <c r="BD27" s="27"/>
      <c r="BE27" s="27"/>
      <c r="BF27" s="27"/>
      <c r="BG27" s="27"/>
      <c r="BH27" s="27"/>
      <c r="BI27" s="27"/>
      <c r="BJ27" s="27"/>
      <c r="BL27" s="15"/>
      <c r="BM27" s="15"/>
      <c r="BO27" s="27"/>
      <c r="BQ27" s="15"/>
      <c r="BS27" s="15"/>
      <c r="BT27" s="15"/>
      <c r="BU27" s="15"/>
      <c r="BV27" s="115"/>
      <c r="BW27" s="115"/>
      <c r="CA27" s="15"/>
      <c r="CB27" s="27"/>
      <c r="CD27" s="62"/>
      <c r="CE27" s="63"/>
    </row>
    <row r="28" spans="1:104">
      <c r="A28" s="210">
        <f>A26+1</f>
        <v>23</v>
      </c>
      <c r="B28" s="5" t="s">
        <v>101</v>
      </c>
      <c r="C28" s="5" t="s">
        <v>290</v>
      </c>
      <c r="D28" s="31">
        <v>1</v>
      </c>
      <c r="E28" s="31"/>
      <c r="F28" s="43"/>
      <c r="G28" s="31" t="s">
        <v>54</v>
      </c>
      <c r="H28" s="5" t="s">
        <v>55</v>
      </c>
      <c r="I28" s="5" t="s">
        <v>56</v>
      </c>
      <c r="J28" s="5" t="s">
        <v>57</v>
      </c>
      <c r="K28" s="10">
        <v>385</v>
      </c>
      <c r="L28" s="10">
        <v>670</v>
      </c>
      <c r="M28" s="10"/>
      <c r="N28" s="45">
        <f>1725/118*100</f>
        <v>1461.8644067796611</v>
      </c>
      <c r="O28" s="45">
        <f t="shared" si="18"/>
        <v>1725</v>
      </c>
      <c r="P28" s="10">
        <f t="shared" si="19"/>
        <v>1155750</v>
      </c>
      <c r="Q28" s="45">
        <f>X28</f>
        <v>1155750</v>
      </c>
      <c r="R28" s="13">
        <v>0</v>
      </c>
      <c r="S28" s="157">
        <f t="shared" si="14"/>
        <v>0</v>
      </c>
      <c r="T28" s="157"/>
      <c r="U28" s="157"/>
      <c r="V28" s="154">
        <f t="shared" si="20"/>
        <v>1</v>
      </c>
      <c r="W28" s="65">
        <v>1</v>
      </c>
      <c r="X28" s="126">
        <f t="shared" si="21"/>
        <v>1155750</v>
      </c>
      <c r="Y28" s="130" t="s">
        <v>65</v>
      </c>
      <c r="Z28" s="130" t="s">
        <v>202</v>
      </c>
      <c r="AA28" s="151">
        <v>0</v>
      </c>
      <c r="AB28" s="13">
        <v>0</v>
      </c>
      <c r="AC28" s="13">
        <v>0</v>
      </c>
      <c r="AD28" s="13"/>
      <c r="AE28" s="13">
        <v>0</v>
      </c>
      <c r="AF28" s="13">
        <v>0</v>
      </c>
      <c r="AG28" s="13">
        <v>0</v>
      </c>
      <c r="AH28" s="13"/>
      <c r="AI28" s="13">
        <v>0</v>
      </c>
      <c r="AJ28" s="13">
        <v>0</v>
      </c>
      <c r="AK28" s="13">
        <v>0</v>
      </c>
      <c r="AL28" s="13"/>
      <c r="AN28" s="1" t="s">
        <v>361</v>
      </c>
      <c r="AO28" s="44">
        <v>0</v>
      </c>
      <c r="AP28" s="44">
        <f t="shared" si="22"/>
        <v>1155750</v>
      </c>
      <c r="AQ28" s="44">
        <v>0</v>
      </c>
      <c r="AR28" s="44">
        <f>S28</f>
        <v>0</v>
      </c>
      <c r="AS28" s="115"/>
      <c r="AT28" s="115"/>
      <c r="AU28" s="115"/>
      <c r="AV28" s="115"/>
      <c r="AW28" s="115"/>
      <c r="AX28" s="257"/>
      <c r="AY28" s="115"/>
      <c r="AZ28" s="115"/>
      <c r="BA28" s="115"/>
      <c r="BB28" s="27"/>
      <c r="BC28" s="27"/>
      <c r="BD28" s="27"/>
      <c r="BE28" s="27"/>
      <c r="BF28" s="27"/>
      <c r="BG28" s="27"/>
      <c r="BH28" s="27"/>
      <c r="BI28" s="27"/>
      <c r="BJ28" s="27"/>
      <c r="BL28" s="15"/>
      <c r="BM28" s="15"/>
      <c r="BO28" s="27"/>
      <c r="BQ28" s="15"/>
      <c r="BS28" s="15"/>
      <c r="BT28" s="15"/>
      <c r="BU28" s="15"/>
      <c r="BV28" s="115"/>
      <c r="BW28" s="115"/>
      <c r="CA28" s="15"/>
      <c r="CB28" s="27"/>
      <c r="CD28" s="62">
        <f t="shared" si="2"/>
        <v>0</v>
      </c>
      <c r="CE28" s="63" t="e">
        <f t="shared" si="3"/>
        <v>#DIV/0!</v>
      </c>
    </row>
    <row r="29" spans="1:104">
      <c r="A29" s="210">
        <f t="shared" si="12"/>
        <v>24</v>
      </c>
      <c r="B29" s="5" t="s">
        <v>102</v>
      </c>
      <c r="C29" s="5" t="s">
        <v>290</v>
      </c>
      <c r="D29" s="31">
        <v>1</v>
      </c>
      <c r="E29" s="31"/>
      <c r="F29" s="43"/>
      <c r="G29" s="31" t="s">
        <v>54</v>
      </c>
      <c r="H29" s="5" t="s">
        <v>55</v>
      </c>
      <c r="I29" s="5" t="s">
        <v>103</v>
      </c>
      <c r="J29" s="5" t="s">
        <v>104</v>
      </c>
      <c r="K29" s="32"/>
      <c r="L29" s="10">
        <v>342</v>
      </c>
      <c r="M29" s="10"/>
      <c r="N29" s="45">
        <v>1220.3399999999999</v>
      </c>
      <c r="O29" s="45">
        <f t="shared" si="18"/>
        <v>1440.0011999999999</v>
      </c>
      <c r="P29" s="10">
        <f t="shared" ref="P29" si="23">IFERROR(L29*O29,0)</f>
        <v>492480.41039999999</v>
      </c>
      <c r="Q29" s="45">
        <f>100000+25000+164160+103320+100000</f>
        <v>492480</v>
      </c>
      <c r="R29" s="13">
        <v>0</v>
      </c>
      <c r="S29" s="157">
        <f t="shared" si="14"/>
        <v>0.41039999999338761</v>
      </c>
      <c r="T29" s="157"/>
      <c r="U29" s="157"/>
      <c r="V29" s="154">
        <f t="shared" si="20"/>
        <v>0.99999916666736111</v>
      </c>
      <c r="W29" s="65">
        <v>0.25</v>
      </c>
      <c r="X29" s="49">
        <f>P29*25%</f>
        <v>123120.1026</v>
      </c>
      <c r="Y29" s="130" t="s">
        <v>66</v>
      </c>
      <c r="Z29" s="130" t="s">
        <v>202</v>
      </c>
      <c r="AA29" s="148"/>
      <c r="AB29" s="49">
        <v>166040</v>
      </c>
      <c r="AC29" s="130" t="s">
        <v>70</v>
      </c>
      <c r="AD29" s="130" t="s">
        <v>202</v>
      </c>
      <c r="AE29" s="191">
        <v>0.25</v>
      </c>
      <c r="AF29" s="189">
        <v>101660</v>
      </c>
      <c r="AG29" s="177" t="s">
        <v>75</v>
      </c>
      <c r="AH29" s="204" t="s">
        <v>164</v>
      </c>
      <c r="AI29" s="191">
        <v>0.25</v>
      </c>
      <c r="AJ29" s="189">
        <v>101660</v>
      </c>
      <c r="AK29" s="177" t="s">
        <v>63</v>
      </c>
      <c r="AL29" s="176" t="s">
        <v>202</v>
      </c>
      <c r="AN29" s="1" t="s">
        <v>361</v>
      </c>
      <c r="AO29" s="44">
        <v>0</v>
      </c>
      <c r="AP29" s="44">
        <f t="shared" si="22"/>
        <v>492480</v>
      </c>
      <c r="AQ29" s="44">
        <f>S29</f>
        <v>0.41039999999338761</v>
      </c>
      <c r="AR29" s="44">
        <v>0</v>
      </c>
      <c r="AS29" s="115"/>
      <c r="AT29" s="115"/>
      <c r="AU29" s="116"/>
      <c r="AV29" s="116"/>
      <c r="AW29" s="115"/>
      <c r="AX29" s="257"/>
      <c r="AY29" s="116"/>
      <c r="AZ29" s="116"/>
      <c r="BA29" s="116"/>
      <c r="BB29" s="27"/>
      <c r="BC29" s="27"/>
      <c r="BD29" s="27"/>
      <c r="BE29" s="27"/>
      <c r="BF29" s="27"/>
      <c r="BG29" s="27"/>
      <c r="BH29" s="27"/>
      <c r="BI29" s="27"/>
      <c r="BJ29" s="27"/>
      <c r="BL29" s="15"/>
      <c r="BM29" s="15"/>
      <c r="BO29" s="27"/>
      <c r="BQ29" s="15"/>
      <c r="BS29" s="15"/>
      <c r="BT29" s="15"/>
      <c r="BU29" s="15"/>
      <c r="BV29" s="115"/>
      <c r="BW29" s="115"/>
      <c r="CA29" s="15"/>
      <c r="CB29" s="27"/>
      <c r="CD29" s="62">
        <f t="shared" si="2"/>
        <v>0</v>
      </c>
      <c r="CE29" s="63" t="e">
        <f t="shared" si="3"/>
        <v>#DIV/0!</v>
      </c>
    </row>
    <row r="30" spans="1:104">
      <c r="A30" s="210">
        <f t="shared" si="12"/>
        <v>25</v>
      </c>
      <c r="B30" s="5" t="s">
        <v>105</v>
      </c>
      <c r="C30" s="5" t="s">
        <v>290</v>
      </c>
      <c r="D30" s="31">
        <v>1</v>
      </c>
      <c r="E30" s="31"/>
      <c r="F30" s="43"/>
      <c r="G30" s="31" t="s">
        <v>54</v>
      </c>
      <c r="H30" s="5"/>
      <c r="I30" s="5" t="s">
        <v>106</v>
      </c>
      <c r="J30" s="5" t="s">
        <v>107</v>
      </c>
      <c r="K30" s="32"/>
      <c r="L30" s="10">
        <v>732</v>
      </c>
      <c r="M30" s="10"/>
      <c r="N30" s="64">
        <v>1016.95</v>
      </c>
      <c r="O30" s="45">
        <v>1200</v>
      </c>
      <c r="P30" s="10">
        <f t="shared" ref="P30:P32" si="24">IFERROR(L30*O30,0)</f>
        <v>878400</v>
      </c>
      <c r="Q30" s="45">
        <f>219600+219600+206424</f>
        <v>645624</v>
      </c>
      <c r="R30" s="13">
        <v>13176</v>
      </c>
      <c r="S30" s="157">
        <f t="shared" si="14"/>
        <v>219600</v>
      </c>
      <c r="T30" s="157"/>
      <c r="U30" s="157"/>
      <c r="V30" s="154">
        <f t="shared" si="20"/>
        <v>0.75</v>
      </c>
      <c r="W30" s="65">
        <v>0.25</v>
      </c>
      <c r="X30" s="49">
        <f>P30*25%</f>
        <v>219600</v>
      </c>
      <c r="Y30" s="130" t="s">
        <v>66</v>
      </c>
      <c r="Z30" s="130" t="s">
        <v>202</v>
      </c>
      <c r="AA30" s="148">
        <v>0.25</v>
      </c>
      <c r="AB30" s="49">
        <f>P30*AA30</f>
        <v>219600</v>
      </c>
      <c r="AC30" s="130" t="s">
        <v>58</v>
      </c>
      <c r="AD30" s="130" t="s">
        <v>164</v>
      </c>
      <c r="AE30" s="191">
        <v>0.25</v>
      </c>
      <c r="AF30" s="189">
        <f>P30*AE30</f>
        <v>219600</v>
      </c>
      <c r="AG30" s="177" t="s">
        <v>75</v>
      </c>
      <c r="AH30" s="204" t="s">
        <v>164</v>
      </c>
      <c r="AI30" s="167">
        <v>0.25</v>
      </c>
      <c r="AJ30" s="178">
        <f>P30*AI30</f>
        <v>219600</v>
      </c>
      <c r="AK30" s="166" t="s">
        <v>63</v>
      </c>
      <c r="AL30" s="165" t="s">
        <v>266</v>
      </c>
      <c r="AN30" s="1" t="s">
        <v>361</v>
      </c>
      <c r="AO30" s="44">
        <v>0</v>
      </c>
      <c r="AP30" s="44">
        <f t="shared" si="22"/>
        <v>658800</v>
      </c>
      <c r="AQ30" s="44">
        <v>0</v>
      </c>
      <c r="AR30" s="44">
        <f>S30</f>
        <v>219600</v>
      </c>
      <c r="AS30" s="115"/>
      <c r="AT30" s="115"/>
      <c r="AW30" s="115"/>
      <c r="AX30" s="257"/>
      <c r="BT30" s="15"/>
      <c r="BV30" s="115"/>
      <c r="BW30" s="115"/>
      <c r="CA30" s="15"/>
      <c r="CB30" s="27"/>
      <c r="CD30" s="62">
        <f t="shared" si="2"/>
        <v>0</v>
      </c>
      <c r="CE30" s="63" t="e">
        <f t="shared" si="3"/>
        <v>#DIV/0!</v>
      </c>
      <c r="CW30" s="1" t="s">
        <v>149</v>
      </c>
      <c r="CX30" s="1">
        <v>60</v>
      </c>
      <c r="CY30" s="1">
        <v>77</v>
      </c>
      <c r="CZ30" s="1">
        <f>SUM(CX30:CY30)</f>
        <v>137</v>
      </c>
    </row>
    <row r="31" spans="1:104">
      <c r="A31" s="210">
        <f t="shared" si="12"/>
        <v>26</v>
      </c>
      <c r="B31" s="5" t="s">
        <v>108</v>
      </c>
      <c r="C31" s="172"/>
      <c r="D31" s="31">
        <v>9</v>
      </c>
      <c r="E31" s="31" t="s">
        <v>54</v>
      </c>
      <c r="F31" s="31" t="s">
        <v>54</v>
      </c>
      <c r="G31" s="31" t="s">
        <v>54</v>
      </c>
      <c r="H31" s="5" t="s">
        <v>55</v>
      </c>
      <c r="I31" s="5" t="s">
        <v>254</v>
      </c>
      <c r="J31" s="5" t="s">
        <v>57</v>
      </c>
      <c r="K31" s="10">
        <v>2000</v>
      </c>
      <c r="L31" s="52">
        <v>819</v>
      </c>
      <c r="M31" s="52"/>
      <c r="N31" s="45">
        <v>1000</v>
      </c>
      <c r="O31" s="45">
        <v>1180</v>
      </c>
      <c r="P31" s="10">
        <f t="shared" si="24"/>
        <v>966420</v>
      </c>
      <c r="Q31" s="45">
        <v>180000</v>
      </c>
      <c r="R31" s="13">
        <v>0</v>
      </c>
      <c r="S31" s="157">
        <f>P31-Q31-R31-T31</f>
        <v>186420</v>
      </c>
      <c r="T31" s="157">
        <v>600000</v>
      </c>
      <c r="U31" s="157"/>
      <c r="V31" s="154">
        <f t="shared" si="20"/>
        <v>0.18625442354255914</v>
      </c>
      <c r="W31" s="167">
        <v>1</v>
      </c>
      <c r="X31" s="165">
        <f>P31</f>
        <v>966420</v>
      </c>
      <c r="Y31" s="181" t="s">
        <v>285</v>
      </c>
      <c r="Z31" s="181"/>
      <c r="AA31" s="151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N31" s="1" t="s">
        <v>361</v>
      </c>
      <c r="AO31" s="44">
        <f>Q31+T31</f>
        <v>780000</v>
      </c>
      <c r="AP31" s="44">
        <v>0</v>
      </c>
      <c r="AQ31" s="44">
        <v>0</v>
      </c>
      <c r="AR31" s="44">
        <f>S31</f>
        <v>186420</v>
      </c>
      <c r="AS31" s="115"/>
      <c r="AT31" s="115"/>
      <c r="AW31" s="115"/>
      <c r="AX31" s="257"/>
      <c r="BT31" s="15"/>
      <c r="BV31" s="115"/>
      <c r="BW31" s="115"/>
      <c r="CA31" s="15"/>
      <c r="CB31" s="27"/>
      <c r="CD31" s="62">
        <f t="shared" si="2"/>
        <v>0</v>
      </c>
      <c r="CE31" s="63" t="e">
        <f t="shared" si="3"/>
        <v>#DIV/0!</v>
      </c>
      <c r="CW31" s="1" t="s">
        <v>151</v>
      </c>
      <c r="CY31" s="1">
        <v>14</v>
      </c>
      <c r="CZ31" s="1">
        <f t="shared" ref="CZ31:CZ32" si="25">SUM(CX31:CY31)</f>
        <v>14</v>
      </c>
    </row>
    <row r="32" spans="1:104">
      <c r="A32" s="210">
        <f t="shared" si="12"/>
        <v>27</v>
      </c>
      <c r="B32" s="5" t="s">
        <v>110</v>
      </c>
      <c r="C32" s="5"/>
      <c r="D32" s="31">
        <v>1</v>
      </c>
      <c r="E32" s="31" t="s">
        <v>54</v>
      </c>
      <c r="F32" s="31" t="s">
        <v>54</v>
      </c>
      <c r="G32" s="31" t="s">
        <v>109</v>
      </c>
      <c r="H32" s="5" t="s">
        <v>55</v>
      </c>
      <c r="I32" s="5" t="s">
        <v>56</v>
      </c>
      <c r="J32" s="5" t="s">
        <v>57</v>
      </c>
      <c r="K32" s="10">
        <v>150</v>
      </c>
      <c r="L32" s="32">
        <v>0</v>
      </c>
      <c r="M32" s="32"/>
      <c r="N32" s="45">
        <v>1000</v>
      </c>
      <c r="O32" s="45">
        <v>1180</v>
      </c>
      <c r="P32" s="10">
        <f t="shared" si="24"/>
        <v>0</v>
      </c>
      <c r="Q32" s="45">
        <v>20000</v>
      </c>
      <c r="R32" s="13"/>
      <c r="S32" s="157">
        <f t="shared" si="14"/>
        <v>-20000</v>
      </c>
      <c r="T32" s="157"/>
      <c r="U32" s="157"/>
      <c r="V32" s="154"/>
      <c r="W32" s="12"/>
      <c r="X32" s="13"/>
      <c r="Y32" s="22"/>
      <c r="Z32" s="22"/>
      <c r="AA32" s="151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N32" s="1" t="s">
        <v>361</v>
      </c>
      <c r="AO32" s="44">
        <v>0</v>
      </c>
      <c r="AP32" s="44">
        <v>0</v>
      </c>
      <c r="AQ32" s="44">
        <v>0</v>
      </c>
      <c r="AR32" s="44">
        <v>0</v>
      </c>
      <c r="AS32" s="115"/>
      <c r="AT32" s="115"/>
      <c r="AW32" s="115"/>
      <c r="AX32" s="257"/>
      <c r="BT32" s="15"/>
      <c r="BV32" s="115"/>
      <c r="BW32" s="115"/>
      <c r="CA32" s="15"/>
      <c r="CB32" s="27"/>
      <c r="CD32" s="62">
        <f t="shared" si="2"/>
        <v>0</v>
      </c>
      <c r="CE32" s="63" t="e">
        <f t="shared" si="3"/>
        <v>#DIV/0!</v>
      </c>
      <c r="CW32" s="1" t="s">
        <v>150</v>
      </c>
      <c r="CX32" s="1">
        <v>54</v>
      </c>
      <c r="CZ32" s="1">
        <f t="shared" si="25"/>
        <v>54</v>
      </c>
    </row>
    <row r="33" spans="1:101">
      <c r="A33" s="210">
        <v>30</v>
      </c>
      <c r="B33" s="5" t="s">
        <v>111</v>
      </c>
      <c r="C33" s="5"/>
      <c r="D33" s="31">
        <v>1</v>
      </c>
      <c r="E33" s="31" t="s">
        <v>54</v>
      </c>
      <c r="F33" s="31" t="s">
        <v>54</v>
      </c>
      <c r="G33" s="31" t="s">
        <v>54</v>
      </c>
      <c r="H33" s="5" t="s">
        <v>55</v>
      </c>
      <c r="I33" s="5" t="s">
        <v>112</v>
      </c>
      <c r="J33" s="5" t="s">
        <v>112</v>
      </c>
      <c r="K33" s="29" t="s">
        <v>255</v>
      </c>
      <c r="L33" s="5">
        <v>39</v>
      </c>
      <c r="M33" s="5"/>
      <c r="N33" s="44">
        <v>3000</v>
      </c>
      <c r="O33" s="44">
        <v>3540</v>
      </c>
      <c r="P33" s="10">
        <f t="shared" ref="P33:P38" si="26">IFERROR(L33*O33,0)</f>
        <v>138060</v>
      </c>
      <c r="Q33" s="44">
        <v>30000</v>
      </c>
      <c r="R33" s="10">
        <v>0</v>
      </c>
      <c r="S33" s="159">
        <f t="shared" si="14"/>
        <v>108060</v>
      </c>
      <c r="T33" s="159"/>
      <c r="U33" s="159"/>
      <c r="V33" s="154">
        <f t="shared" si="20"/>
        <v>0.21729682746631898</v>
      </c>
      <c r="W33" s="65"/>
      <c r="X33" s="126">
        <v>30000</v>
      </c>
      <c r="Y33" s="127"/>
      <c r="Z33" s="127" t="s">
        <v>202</v>
      </c>
      <c r="AA33" s="182"/>
      <c r="AB33" s="165">
        <f>P33-Q33</f>
        <v>108060</v>
      </c>
      <c r="AC33" s="166" t="s">
        <v>75</v>
      </c>
      <c r="AD33" s="180" t="s">
        <v>266</v>
      </c>
      <c r="AE33" s="13"/>
      <c r="AF33" s="13"/>
      <c r="AG33" s="13"/>
      <c r="AH33" s="13"/>
      <c r="AI33" s="13"/>
      <c r="AJ33" s="13"/>
      <c r="AK33" s="13"/>
      <c r="AL33" s="13"/>
      <c r="AN33" s="1" t="s">
        <v>361</v>
      </c>
      <c r="AO33" s="44">
        <v>0</v>
      </c>
      <c r="AP33" s="44">
        <f t="shared" ref="AP33:AP44" si="27">Q33+R33</f>
        <v>30000</v>
      </c>
      <c r="AQ33" s="44">
        <v>0</v>
      </c>
      <c r="AR33" s="44">
        <f t="shared" ref="AR33:AR40" si="28">S33</f>
        <v>108060</v>
      </c>
      <c r="AS33" s="115"/>
      <c r="AT33" s="115"/>
      <c r="AW33" s="115"/>
      <c r="AX33" s="257"/>
      <c r="BT33" s="15"/>
      <c r="BV33" s="115"/>
      <c r="BW33" s="115"/>
      <c r="CA33" s="15"/>
      <c r="CB33" s="27"/>
      <c r="CD33" s="62">
        <f t="shared" si="2"/>
        <v>0</v>
      </c>
      <c r="CE33" s="63" t="e">
        <f t="shared" si="3"/>
        <v>#DIV/0!</v>
      </c>
    </row>
    <row r="34" spans="1:101">
      <c r="A34" s="31">
        <v>31</v>
      </c>
      <c r="B34" s="5" t="s">
        <v>113</v>
      </c>
      <c r="C34" s="5"/>
      <c r="D34" s="31">
        <v>1</v>
      </c>
      <c r="E34" s="31" t="s">
        <v>54</v>
      </c>
      <c r="F34" s="31" t="s">
        <v>54</v>
      </c>
      <c r="G34" s="31" t="s">
        <v>54</v>
      </c>
      <c r="H34" s="5" t="s">
        <v>55</v>
      </c>
      <c r="I34" s="5" t="s">
        <v>112</v>
      </c>
      <c r="J34" s="5" t="s">
        <v>112</v>
      </c>
      <c r="K34" s="29" t="s">
        <v>255</v>
      </c>
      <c r="L34" s="5">
        <v>20</v>
      </c>
      <c r="M34" s="5"/>
      <c r="N34" s="44">
        <v>2542.37</v>
      </c>
      <c r="O34" s="44">
        <v>3000</v>
      </c>
      <c r="P34" s="10">
        <f t="shared" si="26"/>
        <v>60000</v>
      </c>
      <c r="Q34" s="44">
        <v>60000</v>
      </c>
      <c r="R34" s="10">
        <v>0</v>
      </c>
      <c r="S34" s="159">
        <f t="shared" si="14"/>
        <v>0</v>
      </c>
      <c r="T34" s="159"/>
      <c r="U34" s="159"/>
      <c r="V34" s="154">
        <f t="shared" si="20"/>
        <v>1</v>
      </c>
      <c r="W34" s="65">
        <v>1</v>
      </c>
      <c r="X34" s="126">
        <f>P34</f>
        <v>60000</v>
      </c>
      <c r="Y34" s="49"/>
      <c r="Z34" s="130" t="s">
        <v>202</v>
      </c>
      <c r="AA34" s="152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N34" s="1" t="s">
        <v>361</v>
      </c>
      <c r="AO34" s="44">
        <v>0</v>
      </c>
      <c r="AP34" s="44">
        <f t="shared" si="27"/>
        <v>60000</v>
      </c>
      <c r="AQ34" s="44">
        <v>0</v>
      </c>
      <c r="AR34" s="44">
        <f t="shared" si="28"/>
        <v>0</v>
      </c>
      <c r="AS34" s="115"/>
      <c r="AT34" s="115"/>
      <c r="AW34" s="115"/>
      <c r="AX34" s="257"/>
      <c r="BT34" s="15"/>
      <c r="BV34" s="115"/>
      <c r="BW34" s="115"/>
      <c r="CA34" s="15"/>
      <c r="CB34" s="27"/>
      <c r="CD34" s="62">
        <f t="shared" si="2"/>
        <v>0</v>
      </c>
      <c r="CE34" s="63" t="e">
        <f t="shared" si="3"/>
        <v>#DIV/0!</v>
      </c>
    </row>
    <row r="35" spans="1:101">
      <c r="A35" s="31">
        <v>32</v>
      </c>
      <c r="B35" s="255" t="s">
        <v>114</v>
      </c>
      <c r="C35" s="61" t="s">
        <v>290</v>
      </c>
      <c r="D35" s="31">
        <v>1</v>
      </c>
      <c r="E35" s="31" t="s">
        <v>115</v>
      </c>
      <c r="F35" s="31" t="s">
        <v>115</v>
      </c>
      <c r="G35" s="31" t="s">
        <v>54</v>
      </c>
      <c r="H35" s="5" t="s">
        <v>55</v>
      </c>
      <c r="I35" s="5" t="s">
        <v>116</v>
      </c>
      <c r="J35" s="5" t="s">
        <v>107</v>
      </c>
      <c r="K35" s="29"/>
      <c r="L35" s="5">
        <v>270</v>
      </c>
      <c r="M35" s="5"/>
      <c r="N35" s="20">
        <f>O35*100/118</f>
        <v>941.61864406779648</v>
      </c>
      <c r="O35" s="45">
        <v>1111.1099999999999</v>
      </c>
      <c r="P35" s="10">
        <f t="shared" si="26"/>
        <v>299999.69999999995</v>
      </c>
      <c r="Q35" s="45">
        <f>200000+100000</f>
        <v>300000</v>
      </c>
      <c r="R35" s="10">
        <v>0</v>
      </c>
      <c r="S35" s="159">
        <f t="shared" si="14"/>
        <v>-0.30000000004656613</v>
      </c>
      <c r="T35" s="159"/>
      <c r="U35" s="159"/>
      <c r="V35" s="154">
        <f t="shared" si="20"/>
        <v>1.0000010000010002</v>
      </c>
      <c r="W35" s="65"/>
      <c r="X35" s="126">
        <f>Q35</f>
        <v>300000</v>
      </c>
      <c r="Y35" s="127" t="s">
        <v>285</v>
      </c>
      <c r="Z35" s="130" t="s">
        <v>202</v>
      </c>
      <c r="AA35" s="175"/>
      <c r="AB35" s="176">
        <v>100000</v>
      </c>
      <c r="AC35" s="177" t="s">
        <v>75</v>
      </c>
      <c r="AD35" s="204" t="s">
        <v>164</v>
      </c>
      <c r="AE35" s="10"/>
      <c r="AF35" s="10"/>
      <c r="AG35" s="10"/>
      <c r="AH35" s="10"/>
      <c r="AI35" s="10"/>
      <c r="AJ35" s="10"/>
      <c r="AK35" s="10"/>
      <c r="AL35" s="10"/>
      <c r="AN35" s="1" t="s">
        <v>361</v>
      </c>
      <c r="AO35" s="44">
        <v>0</v>
      </c>
      <c r="AP35" s="44">
        <f t="shared" si="27"/>
        <v>300000</v>
      </c>
      <c r="AQ35" s="44">
        <v>0</v>
      </c>
      <c r="AR35" s="44">
        <f t="shared" si="28"/>
        <v>-0.30000000004656613</v>
      </c>
      <c r="AS35" s="115"/>
      <c r="AT35" s="115"/>
      <c r="AW35" s="115"/>
      <c r="AX35" s="257"/>
      <c r="BT35" s="15"/>
      <c r="BV35" s="115"/>
      <c r="BW35" s="115"/>
      <c r="CA35" s="15"/>
      <c r="CB35" s="27"/>
      <c r="CD35" s="62">
        <f t="shared" si="2"/>
        <v>0</v>
      </c>
      <c r="CE35" s="63" t="e">
        <f t="shared" si="3"/>
        <v>#DIV/0!</v>
      </c>
    </row>
    <row r="36" spans="1:101">
      <c r="A36" s="31">
        <v>33</v>
      </c>
      <c r="B36" s="255" t="s">
        <v>117</v>
      </c>
      <c r="C36" s="95"/>
      <c r="D36" s="31">
        <v>1</v>
      </c>
      <c r="E36" s="31" t="s">
        <v>54</v>
      </c>
      <c r="F36" s="31" t="s">
        <v>54</v>
      </c>
      <c r="G36" s="31" t="s">
        <v>54</v>
      </c>
      <c r="H36" s="5" t="s">
        <v>55</v>
      </c>
      <c r="I36" s="5" t="s">
        <v>118</v>
      </c>
      <c r="J36" s="5" t="s">
        <v>119</v>
      </c>
      <c r="K36" s="5">
        <v>40</v>
      </c>
      <c r="L36" s="5">
        <v>31</v>
      </c>
      <c r="M36" s="5"/>
      <c r="N36" s="48">
        <v>1016.95</v>
      </c>
      <c r="O36" s="44">
        <v>1200</v>
      </c>
      <c r="P36" s="10">
        <f t="shared" si="26"/>
        <v>37200</v>
      </c>
      <c r="Q36" s="44">
        <v>18600</v>
      </c>
      <c r="R36" s="10">
        <v>0</v>
      </c>
      <c r="S36" s="159">
        <f t="shared" si="14"/>
        <v>18600</v>
      </c>
      <c r="T36" s="159"/>
      <c r="U36" s="159"/>
      <c r="V36" s="154">
        <f t="shared" si="20"/>
        <v>0.5</v>
      </c>
      <c r="W36" s="65">
        <v>0.5</v>
      </c>
      <c r="X36" s="126">
        <f>P36*W36</f>
        <v>18600</v>
      </c>
      <c r="Y36" s="130" t="s">
        <v>66</v>
      </c>
      <c r="Z36" s="130" t="s">
        <v>202</v>
      </c>
      <c r="AA36" s="179">
        <v>0.5</v>
      </c>
      <c r="AB36" s="165">
        <f>P36*AA36</f>
        <v>18600</v>
      </c>
      <c r="AC36" s="180" t="s">
        <v>62</v>
      </c>
      <c r="AD36" s="180" t="s">
        <v>266</v>
      </c>
      <c r="AE36" s="13"/>
      <c r="AF36" s="13"/>
      <c r="AG36" s="13"/>
      <c r="AH36" s="13"/>
      <c r="AI36" s="13"/>
      <c r="AJ36" s="13"/>
      <c r="AK36" s="13"/>
      <c r="AL36" s="13"/>
      <c r="AN36" s="1" t="s">
        <v>361</v>
      </c>
      <c r="AO36" s="44">
        <v>0</v>
      </c>
      <c r="AP36" s="44">
        <f t="shared" si="27"/>
        <v>18600</v>
      </c>
      <c r="AQ36" s="44">
        <v>0</v>
      </c>
      <c r="AR36" s="44">
        <f t="shared" si="28"/>
        <v>18600</v>
      </c>
      <c r="AS36" s="115"/>
      <c r="AT36" s="115"/>
      <c r="AW36" s="115"/>
      <c r="AX36" s="257"/>
      <c r="BT36" s="15"/>
      <c r="BV36" s="115"/>
      <c r="BW36" s="115"/>
      <c r="CA36" s="15"/>
      <c r="CB36" s="27"/>
      <c r="CD36" s="62">
        <f t="shared" si="2"/>
        <v>0</v>
      </c>
      <c r="CE36" s="63" t="e">
        <f t="shared" si="3"/>
        <v>#DIV/0!</v>
      </c>
      <c r="CW36" s="1" t="s">
        <v>152</v>
      </c>
    </row>
    <row r="37" spans="1:101">
      <c r="A37" s="31">
        <v>34</v>
      </c>
      <c r="B37" s="5" t="s">
        <v>155</v>
      </c>
      <c r="C37" s="172"/>
      <c r="D37" s="31">
        <v>1</v>
      </c>
      <c r="E37" s="31" t="s">
        <v>54</v>
      </c>
      <c r="F37" s="31" t="s">
        <v>54</v>
      </c>
      <c r="G37" s="31" t="s">
        <v>54</v>
      </c>
      <c r="H37" s="5" t="s">
        <v>153</v>
      </c>
      <c r="I37" s="5" t="s">
        <v>154</v>
      </c>
      <c r="J37" s="5" t="s">
        <v>57</v>
      </c>
      <c r="K37" s="5">
        <v>10</v>
      </c>
      <c r="L37" s="5">
        <v>10</v>
      </c>
      <c r="M37" s="5"/>
      <c r="N37" s="5">
        <v>2118.64</v>
      </c>
      <c r="O37" s="5">
        <v>2500</v>
      </c>
      <c r="P37" s="5">
        <f>IFERROR(L37*O37,0)</f>
        <v>25000</v>
      </c>
      <c r="Q37" s="44">
        <v>22881</v>
      </c>
      <c r="R37" s="10">
        <v>2119</v>
      </c>
      <c r="S37" s="159">
        <f t="shared" si="14"/>
        <v>0</v>
      </c>
      <c r="T37" s="159"/>
      <c r="U37" s="159"/>
      <c r="V37" s="154">
        <f t="shared" si="20"/>
        <v>1</v>
      </c>
      <c r="W37" s="65">
        <v>1</v>
      </c>
      <c r="X37" s="126">
        <f>P37</f>
        <v>25000</v>
      </c>
      <c r="Y37" s="127"/>
      <c r="Z37" s="127" t="s">
        <v>202</v>
      </c>
      <c r="AA37" s="151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N37" s="1" t="s">
        <v>361</v>
      </c>
      <c r="AO37" s="44">
        <v>0</v>
      </c>
      <c r="AP37" s="44">
        <f t="shared" si="27"/>
        <v>25000</v>
      </c>
      <c r="AQ37" s="44">
        <v>0</v>
      </c>
      <c r="AR37" s="44">
        <f t="shared" si="28"/>
        <v>0</v>
      </c>
      <c r="AS37" s="115"/>
      <c r="AT37" s="115"/>
      <c r="AW37" s="115"/>
      <c r="AX37" s="257"/>
    </row>
    <row r="38" spans="1:101">
      <c r="A38" s="139">
        <v>35</v>
      </c>
      <c r="B38" s="75" t="s">
        <v>158</v>
      </c>
      <c r="C38" s="173" t="s">
        <v>367</v>
      </c>
      <c r="D38" s="139">
        <v>1</v>
      </c>
      <c r="E38" s="139"/>
      <c r="F38" s="139" t="s">
        <v>53</v>
      </c>
      <c r="G38" s="139" t="s">
        <v>54</v>
      </c>
      <c r="H38" s="75" t="s">
        <v>153</v>
      </c>
      <c r="I38" s="75" t="s">
        <v>56</v>
      </c>
      <c r="J38" s="75" t="s">
        <v>57</v>
      </c>
      <c r="K38" s="75"/>
      <c r="L38" s="75">
        <v>49</v>
      </c>
      <c r="M38" s="75" t="s">
        <v>286</v>
      </c>
      <c r="N38" s="75">
        <v>2500</v>
      </c>
      <c r="O38" s="75">
        <v>2950</v>
      </c>
      <c r="P38" s="140">
        <f t="shared" si="26"/>
        <v>144550</v>
      </c>
      <c r="Q38" s="162"/>
      <c r="R38" s="140"/>
      <c r="S38" s="160">
        <f t="shared" si="14"/>
        <v>144550</v>
      </c>
      <c r="T38" s="160"/>
      <c r="U38" s="160"/>
      <c r="V38" s="141">
        <f t="shared" si="20"/>
        <v>0</v>
      </c>
      <c r="W38" s="183">
        <v>0.25</v>
      </c>
      <c r="X38" s="184">
        <f>P38*25%</f>
        <v>36137.5</v>
      </c>
      <c r="Y38" s="185" t="s">
        <v>66</v>
      </c>
      <c r="Z38" s="185"/>
      <c r="AA38" s="186">
        <v>0.25</v>
      </c>
      <c r="AB38" s="184">
        <f>P38*AA38</f>
        <v>36137.5</v>
      </c>
      <c r="AC38" s="185" t="s">
        <v>58</v>
      </c>
      <c r="AD38" s="185" t="s">
        <v>266</v>
      </c>
      <c r="AE38" s="183">
        <v>0.25</v>
      </c>
      <c r="AF38" s="184">
        <f>P38*AE38</f>
        <v>36137.5</v>
      </c>
      <c r="AG38" s="187" t="s">
        <v>75</v>
      </c>
      <c r="AH38" s="187"/>
      <c r="AI38" s="183">
        <v>0.25</v>
      </c>
      <c r="AJ38" s="184">
        <f>P38*AI38</f>
        <v>36137.5</v>
      </c>
      <c r="AK38" s="187" t="s">
        <v>71</v>
      </c>
      <c r="AL38" s="187"/>
      <c r="AN38" s="1" t="s">
        <v>361</v>
      </c>
      <c r="AO38" s="44">
        <v>0</v>
      </c>
      <c r="AP38" s="44">
        <f t="shared" si="27"/>
        <v>0</v>
      </c>
      <c r="AQ38" s="44">
        <v>0</v>
      </c>
      <c r="AR38" s="44">
        <f t="shared" si="28"/>
        <v>144550</v>
      </c>
      <c r="AS38" s="115"/>
      <c r="AT38" s="115"/>
      <c r="AW38" s="115"/>
      <c r="AX38" s="257"/>
    </row>
    <row r="39" spans="1:101">
      <c r="A39" s="31">
        <v>36</v>
      </c>
      <c r="B39" s="255" t="s">
        <v>166</v>
      </c>
      <c r="C39" s="40" t="s">
        <v>290</v>
      </c>
      <c r="D39" s="31">
        <v>1</v>
      </c>
      <c r="E39" s="31" t="s">
        <v>165</v>
      </c>
      <c r="F39" s="31" t="s">
        <v>165</v>
      </c>
      <c r="G39" s="31" t="s">
        <v>54</v>
      </c>
      <c r="H39" s="76"/>
      <c r="I39" s="5" t="s">
        <v>163</v>
      </c>
      <c r="J39" s="5" t="s">
        <v>162</v>
      </c>
      <c r="K39" s="29"/>
      <c r="L39" s="8">
        <v>120</v>
      </c>
      <c r="M39" s="8"/>
      <c r="N39" s="41">
        <v>1271.19</v>
      </c>
      <c r="O39" s="41">
        <v>1500</v>
      </c>
      <c r="P39" s="10">
        <f>IFERROR(L39*O39,0)</f>
        <v>180000</v>
      </c>
      <c r="Q39" s="44">
        <f>20000+68700+44237+44237</f>
        <v>177174</v>
      </c>
      <c r="R39" s="5">
        <f>1300+763+763</f>
        <v>2826</v>
      </c>
      <c r="S39" s="161">
        <f t="shared" si="14"/>
        <v>0</v>
      </c>
      <c r="T39" s="161"/>
      <c r="U39" s="161"/>
      <c r="V39" s="154">
        <f t="shared" si="20"/>
        <v>1</v>
      </c>
      <c r="W39" s="65">
        <v>0.25</v>
      </c>
      <c r="X39" s="49">
        <f>P39*W39</f>
        <v>45000</v>
      </c>
      <c r="Y39" s="130" t="s">
        <v>66</v>
      </c>
      <c r="Z39" s="130" t="s">
        <v>202</v>
      </c>
      <c r="AA39" s="148">
        <v>0.25</v>
      </c>
      <c r="AB39" s="49">
        <f>P39*AA39</f>
        <v>45000</v>
      </c>
      <c r="AC39" s="130" t="s">
        <v>58</v>
      </c>
      <c r="AD39" s="130" t="s">
        <v>202</v>
      </c>
      <c r="AE39" s="191">
        <v>0.25</v>
      </c>
      <c r="AF39" s="189">
        <f>P39*AE39</f>
        <v>45000</v>
      </c>
      <c r="AG39" s="177" t="s">
        <v>75</v>
      </c>
      <c r="AH39" s="177" t="s">
        <v>202</v>
      </c>
      <c r="AI39" s="191">
        <v>0.25</v>
      </c>
      <c r="AJ39" s="189">
        <f>P39*AI39</f>
        <v>45000</v>
      </c>
      <c r="AK39" s="205"/>
      <c r="AL39" s="205" t="s">
        <v>202</v>
      </c>
      <c r="AN39" s="1" t="s">
        <v>361</v>
      </c>
      <c r="AO39" s="44">
        <v>0</v>
      </c>
      <c r="AP39" s="44">
        <f t="shared" si="27"/>
        <v>180000</v>
      </c>
      <c r="AQ39" s="44">
        <v>0</v>
      </c>
      <c r="AR39" s="44">
        <f t="shared" si="28"/>
        <v>0</v>
      </c>
      <c r="AS39" s="115"/>
      <c r="AT39" s="115"/>
      <c r="AW39" s="115"/>
      <c r="AX39" s="257"/>
    </row>
    <row r="40" spans="1:101">
      <c r="A40" s="31">
        <v>37</v>
      </c>
      <c r="B40" s="255" t="s">
        <v>172</v>
      </c>
      <c r="C40" s="40"/>
      <c r="D40" s="31">
        <v>1</v>
      </c>
      <c r="E40" s="31" t="s">
        <v>54</v>
      </c>
      <c r="F40" s="31" t="s">
        <v>54</v>
      </c>
      <c r="G40" s="31" t="s">
        <v>54</v>
      </c>
      <c r="H40" s="82"/>
      <c r="I40" s="5" t="s">
        <v>82</v>
      </c>
      <c r="J40" s="5" t="s">
        <v>57</v>
      </c>
      <c r="K40" s="5">
        <v>1</v>
      </c>
      <c r="L40" s="8">
        <v>1</v>
      </c>
      <c r="M40" s="5" t="s">
        <v>286</v>
      </c>
      <c r="N40" s="41">
        <f>O40*100/118</f>
        <v>10169.491525423729</v>
      </c>
      <c r="O40" s="41">
        <v>12000</v>
      </c>
      <c r="P40" s="10">
        <f>IFERROR(L40*O40,0)</f>
        <v>12000</v>
      </c>
      <c r="Q40" s="44">
        <v>12000</v>
      </c>
      <c r="R40" s="10">
        <v>0</v>
      </c>
      <c r="S40" s="161">
        <v>0</v>
      </c>
      <c r="T40" s="161"/>
      <c r="U40" s="161"/>
      <c r="V40" s="154">
        <v>1</v>
      </c>
      <c r="W40" s="65"/>
      <c r="X40" s="49"/>
      <c r="Y40" s="134"/>
      <c r="Z40" s="134"/>
      <c r="AA40" s="149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N40" s="1" t="s">
        <v>361</v>
      </c>
      <c r="AO40" s="44">
        <v>0</v>
      </c>
      <c r="AP40" s="44">
        <f t="shared" si="27"/>
        <v>12000</v>
      </c>
      <c r="AQ40" s="44">
        <v>0</v>
      </c>
      <c r="AR40" s="44">
        <f t="shared" si="28"/>
        <v>0</v>
      </c>
      <c r="AS40" s="115"/>
      <c r="AT40" s="115"/>
      <c r="AW40" s="115"/>
      <c r="AX40" s="257"/>
    </row>
    <row r="41" spans="1:101">
      <c r="A41" s="31">
        <v>38</v>
      </c>
      <c r="B41" s="255" t="s">
        <v>222</v>
      </c>
      <c r="C41" s="95"/>
      <c r="D41" s="31"/>
      <c r="E41" s="31" t="s">
        <v>165</v>
      </c>
      <c r="F41" s="31" t="s">
        <v>165</v>
      </c>
      <c r="G41" s="31" t="s">
        <v>202</v>
      </c>
      <c r="H41" s="29"/>
      <c r="I41" s="5" t="s">
        <v>56</v>
      </c>
      <c r="J41" s="5" t="s">
        <v>57</v>
      </c>
      <c r="K41" s="29"/>
      <c r="L41" s="5">
        <v>9</v>
      </c>
      <c r="M41" s="5" t="s">
        <v>286</v>
      </c>
      <c r="N41" s="9">
        <f t="shared" ref="N41:N49" si="29">O41*100/118</f>
        <v>13200</v>
      </c>
      <c r="O41" s="5">
        <v>15576</v>
      </c>
      <c r="P41" s="10">
        <f t="shared" ref="P41:P49" si="30">IFERROR(L41*O41,0)</f>
        <v>140184</v>
      </c>
      <c r="Q41" s="44">
        <f>P41</f>
        <v>140184</v>
      </c>
      <c r="R41" s="5"/>
      <c r="S41" s="161">
        <f t="shared" si="14"/>
        <v>0</v>
      </c>
      <c r="T41" s="161"/>
      <c r="U41" s="161"/>
      <c r="V41" s="156">
        <f t="shared" si="20"/>
        <v>1</v>
      </c>
      <c r="W41" s="191">
        <v>1</v>
      </c>
      <c r="X41" s="189">
        <f>P41</f>
        <v>140184</v>
      </c>
      <c r="Y41" s="206" t="s">
        <v>285</v>
      </c>
      <c r="Z41" s="206" t="s">
        <v>266</v>
      </c>
      <c r="AA41" s="153"/>
      <c r="AB41" s="10"/>
      <c r="AC41" s="5"/>
      <c r="AD41" s="5"/>
      <c r="AE41" s="83"/>
      <c r="AF41" s="10"/>
      <c r="AG41" s="84"/>
      <c r="AH41" s="84"/>
      <c r="AI41" s="83"/>
      <c r="AJ41" s="10"/>
      <c r="AK41" s="84"/>
      <c r="AL41" s="84"/>
      <c r="AN41" s="1" t="s">
        <v>361</v>
      </c>
      <c r="AO41" s="44">
        <v>0</v>
      </c>
      <c r="AP41" s="44">
        <f t="shared" si="27"/>
        <v>140184</v>
      </c>
      <c r="AQ41" s="44">
        <f>S41</f>
        <v>0</v>
      </c>
      <c r="AR41" s="44">
        <v>0</v>
      </c>
      <c r="AS41" s="115"/>
      <c r="AT41" s="115"/>
      <c r="AW41" s="115"/>
      <c r="AX41" s="257"/>
    </row>
    <row r="42" spans="1:101">
      <c r="A42" s="31"/>
      <c r="B42" s="255" t="s">
        <v>222</v>
      </c>
      <c r="C42" s="95"/>
      <c r="D42" s="31"/>
      <c r="E42" s="31" t="s">
        <v>165</v>
      </c>
      <c r="F42" s="31" t="s">
        <v>165</v>
      </c>
      <c r="G42" s="31" t="s">
        <v>202</v>
      </c>
      <c r="H42" s="29"/>
      <c r="I42" s="5"/>
      <c r="J42" s="5"/>
      <c r="K42" s="29"/>
      <c r="L42" s="5">
        <v>72</v>
      </c>
      <c r="M42" s="5"/>
      <c r="N42" s="9"/>
      <c r="O42" s="5" t="s">
        <v>303</v>
      </c>
      <c r="P42" s="10">
        <v>200000</v>
      </c>
      <c r="Q42" s="44">
        <v>183051</v>
      </c>
      <c r="R42" s="5">
        <v>16949</v>
      </c>
      <c r="S42" s="161">
        <f t="shared" ref="S42" si="31">P42-Q42-R42</f>
        <v>0</v>
      </c>
      <c r="T42" s="161"/>
      <c r="U42" s="161"/>
      <c r="V42" s="156">
        <f t="shared" ref="V42" si="32">SUM(Q42:R42)/P42</f>
        <v>1</v>
      </c>
      <c r="W42" s="191">
        <v>1</v>
      </c>
      <c r="X42" s="189">
        <f>P42</f>
        <v>200000</v>
      </c>
      <c r="Y42" s="172"/>
      <c r="Z42" s="172"/>
      <c r="AA42" s="153"/>
      <c r="AB42" s="10"/>
      <c r="AC42" s="5"/>
      <c r="AD42" s="5"/>
      <c r="AE42" s="83"/>
      <c r="AF42" s="10"/>
      <c r="AG42" s="84"/>
      <c r="AH42" s="84"/>
      <c r="AI42" s="83"/>
      <c r="AJ42" s="10"/>
      <c r="AK42" s="84"/>
      <c r="AL42" s="84"/>
      <c r="AN42" s="1" t="s">
        <v>361</v>
      </c>
      <c r="AO42" s="44">
        <v>0</v>
      </c>
      <c r="AP42" s="44">
        <f t="shared" si="27"/>
        <v>200000</v>
      </c>
      <c r="AQ42" s="44">
        <v>0</v>
      </c>
      <c r="AR42" s="44">
        <v>0</v>
      </c>
      <c r="AS42" s="115"/>
      <c r="AT42" s="115"/>
      <c r="AW42" s="115"/>
      <c r="AX42" s="257"/>
    </row>
    <row r="43" spans="1:101">
      <c r="A43" s="31">
        <v>39</v>
      </c>
      <c r="B43" s="255" t="s">
        <v>226</v>
      </c>
      <c r="C43" s="40" t="s">
        <v>304</v>
      </c>
      <c r="D43" s="31"/>
      <c r="E43" s="31"/>
      <c r="F43" s="31"/>
      <c r="G43" s="31" t="s">
        <v>54</v>
      </c>
      <c r="H43" s="29"/>
      <c r="I43" s="5" t="s">
        <v>227</v>
      </c>
      <c r="J43" s="5" t="s">
        <v>107</v>
      </c>
      <c r="K43" s="5">
        <v>125</v>
      </c>
      <c r="L43" s="5">
        <v>110</v>
      </c>
      <c r="M43" s="5"/>
      <c r="N43" s="9">
        <f t="shared" si="29"/>
        <v>1864.406779661017</v>
      </c>
      <c r="O43" s="5">
        <v>2200</v>
      </c>
      <c r="P43" s="10">
        <f t="shared" si="30"/>
        <v>242000</v>
      </c>
      <c r="Q43" s="44"/>
      <c r="R43" s="5"/>
      <c r="S43" s="161">
        <f t="shared" si="14"/>
        <v>242000</v>
      </c>
      <c r="T43" s="161"/>
      <c r="U43" s="161"/>
      <c r="V43" s="156">
        <f t="shared" si="20"/>
        <v>0</v>
      </c>
      <c r="W43" s="167">
        <v>1</v>
      </c>
      <c r="X43" s="178">
        <f>P43</f>
        <v>242000</v>
      </c>
      <c r="Y43" s="188" t="s">
        <v>285</v>
      </c>
      <c r="Z43" s="188" t="s">
        <v>266</v>
      </c>
      <c r="AA43" s="153"/>
      <c r="AB43" s="10"/>
      <c r="AC43" s="5"/>
      <c r="AD43" s="5"/>
      <c r="AE43" s="83"/>
      <c r="AF43" s="10"/>
      <c r="AG43" s="84"/>
      <c r="AH43" s="84"/>
      <c r="AI43" s="83"/>
      <c r="AJ43" s="10"/>
      <c r="AK43" s="84"/>
      <c r="AL43" s="84"/>
      <c r="AN43" s="1" t="s">
        <v>361</v>
      </c>
      <c r="AO43" s="44">
        <v>0</v>
      </c>
      <c r="AP43" s="44">
        <f t="shared" si="27"/>
        <v>0</v>
      </c>
      <c r="AQ43" s="44"/>
      <c r="AR43" s="44">
        <f t="shared" ref="AR43:AR48" si="33">S43</f>
        <v>242000</v>
      </c>
      <c r="AS43" s="115"/>
      <c r="AT43" s="115"/>
      <c r="AW43" s="115"/>
      <c r="AX43" s="257"/>
    </row>
    <row r="44" spans="1:101">
      <c r="A44" s="31">
        <v>40</v>
      </c>
      <c r="B44" s="255" t="s">
        <v>228</v>
      </c>
      <c r="C44" s="40"/>
      <c r="D44" s="31">
        <v>1</v>
      </c>
      <c r="E44" s="31" t="s">
        <v>54</v>
      </c>
      <c r="F44" s="31" t="s">
        <v>54</v>
      </c>
      <c r="G44" s="31" t="s">
        <v>54</v>
      </c>
      <c r="H44" s="5" t="s">
        <v>229</v>
      </c>
      <c r="I44" s="5" t="s">
        <v>56</v>
      </c>
      <c r="J44" s="5" t="s">
        <v>57</v>
      </c>
      <c r="K44" s="5">
        <v>80</v>
      </c>
      <c r="L44" s="5">
        <v>74</v>
      </c>
      <c r="M44" s="5"/>
      <c r="N44" s="9">
        <f t="shared" si="29"/>
        <v>847.45762711864404</v>
      </c>
      <c r="O44" s="5">
        <v>1000</v>
      </c>
      <c r="P44" s="10">
        <f t="shared" si="30"/>
        <v>74000</v>
      </c>
      <c r="Q44" s="44">
        <f>34500+38246</f>
        <v>72746</v>
      </c>
      <c r="R44" s="5">
        <v>1254</v>
      </c>
      <c r="S44" s="161">
        <f t="shared" si="14"/>
        <v>0</v>
      </c>
      <c r="T44" s="161"/>
      <c r="U44" s="161"/>
      <c r="V44" s="154">
        <f t="shared" si="20"/>
        <v>1</v>
      </c>
      <c r="W44" s="65">
        <v>0.5</v>
      </c>
      <c r="X44" s="126">
        <f>P44*W44</f>
        <v>37000</v>
      </c>
      <c r="Y44" s="131" t="s">
        <v>70</v>
      </c>
      <c r="Z44" s="130" t="s">
        <v>202</v>
      </c>
      <c r="AA44" s="164">
        <v>0.5</v>
      </c>
      <c r="AB44" s="49">
        <f>P44*AA44</f>
        <v>37000</v>
      </c>
      <c r="AC44" s="131" t="s">
        <v>62</v>
      </c>
      <c r="AD44" s="131" t="s">
        <v>164</v>
      </c>
      <c r="AE44" s="83"/>
      <c r="AF44" s="10"/>
      <c r="AG44" s="84"/>
      <c r="AH44" s="84"/>
      <c r="AI44" s="83"/>
      <c r="AJ44" s="10"/>
      <c r="AK44" s="84"/>
      <c r="AL44" s="84"/>
      <c r="AN44" s="1" t="s">
        <v>361</v>
      </c>
      <c r="AO44" s="44">
        <v>0</v>
      </c>
      <c r="AP44" s="44">
        <f t="shared" si="27"/>
        <v>74000</v>
      </c>
      <c r="AQ44" s="44">
        <v>0</v>
      </c>
      <c r="AR44" s="44">
        <f t="shared" si="33"/>
        <v>0</v>
      </c>
      <c r="AS44" s="115"/>
      <c r="AT44" s="115"/>
      <c r="AW44" s="115"/>
      <c r="AX44" s="257"/>
    </row>
    <row r="45" spans="1:101">
      <c r="A45" s="31">
        <v>41</v>
      </c>
      <c r="B45" s="255" t="s">
        <v>250</v>
      </c>
      <c r="C45" s="110"/>
      <c r="D45" s="135">
        <v>1</v>
      </c>
      <c r="E45" s="31" t="s">
        <v>54</v>
      </c>
      <c r="F45" s="31" t="s">
        <v>54</v>
      </c>
      <c r="G45" s="31" t="s">
        <v>54</v>
      </c>
      <c r="H45" s="5" t="s">
        <v>229</v>
      </c>
      <c r="I45" s="5" t="s">
        <v>56</v>
      </c>
      <c r="J45" s="5" t="s">
        <v>57</v>
      </c>
      <c r="K45" s="264">
        <v>50</v>
      </c>
      <c r="L45" s="5">
        <v>13</v>
      </c>
      <c r="M45" s="5"/>
      <c r="N45" s="9">
        <f t="shared" si="29"/>
        <v>2000</v>
      </c>
      <c r="O45" s="5">
        <v>2360</v>
      </c>
      <c r="P45" s="10">
        <f>IFERROR(L45*O45,0)-1000</f>
        <v>29680</v>
      </c>
      <c r="Q45" s="266">
        <v>19840</v>
      </c>
      <c r="R45" s="289">
        <v>0</v>
      </c>
      <c r="S45" s="294">
        <f>P45+P46-Q45-T45</f>
        <v>0</v>
      </c>
      <c r="T45" s="161">
        <v>18840</v>
      </c>
      <c r="U45" s="161"/>
      <c r="V45" s="296">
        <f>(Q45+T45)/(P45+P46)</f>
        <v>1</v>
      </c>
      <c r="W45" s="191"/>
      <c r="X45" s="189">
        <f>P45</f>
        <v>29680</v>
      </c>
      <c r="Y45" s="258" t="s">
        <v>70</v>
      </c>
      <c r="Z45" s="258" t="s">
        <v>202</v>
      </c>
      <c r="AA45" s="153">
        <v>0.5</v>
      </c>
      <c r="AB45" s="10"/>
      <c r="AC45" s="117" t="s">
        <v>63</v>
      </c>
      <c r="AD45" s="117"/>
      <c r="AE45" s="83"/>
      <c r="AF45" s="10"/>
      <c r="AG45" s="84"/>
      <c r="AH45" s="84"/>
      <c r="AI45" s="83"/>
      <c r="AJ45" s="10"/>
      <c r="AK45" s="84"/>
      <c r="AL45" s="84"/>
      <c r="AN45" s="1" t="s">
        <v>361</v>
      </c>
      <c r="AO45" s="44">
        <v>0</v>
      </c>
      <c r="AP45" s="44">
        <f>P45+P46</f>
        <v>38680</v>
      </c>
      <c r="AQ45" s="44">
        <v>0</v>
      </c>
      <c r="AR45" s="44">
        <f t="shared" si="33"/>
        <v>0</v>
      </c>
      <c r="AS45" s="115"/>
      <c r="AT45" s="115"/>
      <c r="AW45" s="115"/>
      <c r="AX45" s="257"/>
    </row>
    <row r="46" spans="1:101">
      <c r="A46" s="31"/>
      <c r="B46" s="255" t="s">
        <v>250</v>
      </c>
      <c r="C46" s="110"/>
      <c r="D46" s="135"/>
      <c r="E46" s="31"/>
      <c r="F46" s="31"/>
      <c r="G46" s="31"/>
      <c r="H46" s="5"/>
      <c r="I46" s="5"/>
      <c r="J46" s="5"/>
      <c r="K46" s="265"/>
      <c r="L46" s="5">
        <v>3</v>
      </c>
      <c r="M46" s="5"/>
      <c r="N46" s="9">
        <f t="shared" si="29"/>
        <v>2542.3728813559323</v>
      </c>
      <c r="O46" s="5">
        <v>3000</v>
      </c>
      <c r="P46" s="10">
        <f t="shared" si="30"/>
        <v>9000</v>
      </c>
      <c r="Q46" s="267"/>
      <c r="R46" s="290"/>
      <c r="S46" s="295"/>
      <c r="T46" s="161"/>
      <c r="U46" s="161"/>
      <c r="V46" s="297"/>
      <c r="W46" s="191"/>
      <c r="X46" s="189">
        <f>P46</f>
        <v>9000</v>
      </c>
      <c r="Y46" s="258" t="s">
        <v>70</v>
      </c>
      <c r="Z46" s="258" t="s">
        <v>202</v>
      </c>
      <c r="AA46" s="153"/>
      <c r="AB46" s="10"/>
      <c r="AC46" s="117"/>
      <c r="AD46" s="117"/>
      <c r="AE46" s="83"/>
      <c r="AF46" s="10"/>
      <c r="AG46" s="84"/>
      <c r="AH46" s="84"/>
      <c r="AI46" s="83"/>
      <c r="AJ46" s="10"/>
      <c r="AK46" s="84"/>
      <c r="AL46" s="84"/>
      <c r="AN46" s="1" t="s">
        <v>361</v>
      </c>
      <c r="AO46" s="44">
        <f>Q46+R46</f>
        <v>0</v>
      </c>
      <c r="AP46" s="44">
        <f>Q46+R46</f>
        <v>0</v>
      </c>
      <c r="AQ46" s="44">
        <v>0</v>
      </c>
      <c r="AR46" s="44">
        <f t="shared" si="33"/>
        <v>0</v>
      </c>
      <c r="AS46" s="115"/>
      <c r="AT46" s="115"/>
      <c r="AW46" s="115"/>
      <c r="AX46" s="257"/>
    </row>
    <row r="47" spans="1:101">
      <c r="A47" s="31">
        <v>42</v>
      </c>
      <c r="B47" s="5" t="s">
        <v>259</v>
      </c>
      <c r="C47" s="5"/>
      <c r="D47" s="31">
        <v>1</v>
      </c>
      <c r="E47" s="31" t="s">
        <v>54</v>
      </c>
      <c r="F47" s="31" t="s">
        <v>54</v>
      </c>
      <c r="G47" s="31" t="s">
        <v>54</v>
      </c>
      <c r="H47" s="5" t="s">
        <v>229</v>
      </c>
      <c r="I47" s="5" t="s">
        <v>260</v>
      </c>
      <c r="J47" s="5" t="s">
        <v>57</v>
      </c>
      <c r="K47" s="5">
        <v>60</v>
      </c>
      <c r="L47" s="5">
        <v>60</v>
      </c>
      <c r="M47" s="5"/>
      <c r="N47" s="9">
        <f t="shared" si="29"/>
        <v>1525.4237288135594</v>
      </c>
      <c r="O47" s="5">
        <v>1800</v>
      </c>
      <c r="P47" s="10">
        <f t="shared" si="30"/>
        <v>108000</v>
      </c>
      <c r="Q47" s="44">
        <v>108000</v>
      </c>
      <c r="R47" s="10">
        <v>0</v>
      </c>
      <c r="S47" s="161">
        <f t="shared" si="14"/>
        <v>0</v>
      </c>
      <c r="T47" s="161"/>
      <c r="U47" s="161"/>
      <c r="V47" s="154">
        <f t="shared" si="20"/>
        <v>1</v>
      </c>
      <c r="W47" s="65">
        <v>1</v>
      </c>
      <c r="X47" s="49"/>
      <c r="Y47" s="144">
        <v>42248</v>
      </c>
      <c r="Z47" s="144" t="s">
        <v>202</v>
      </c>
      <c r="AA47" s="153"/>
      <c r="AB47" s="10"/>
      <c r="AC47" s="117"/>
      <c r="AD47" s="117"/>
      <c r="AE47" s="83"/>
      <c r="AF47" s="10"/>
      <c r="AG47" s="84"/>
      <c r="AH47" s="84"/>
      <c r="AI47" s="83"/>
      <c r="AJ47" s="10"/>
      <c r="AK47" s="84"/>
      <c r="AL47" s="84"/>
      <c r="AN47" s="1" t="s">
        <v>361</v>
      </c>
      <c r="AO47" s="44">
        <v>0</v>
      </c>
      <c r="AP47" s="44">
        <f>Q47+R47</f>
        <v>108000</v>
      </c>
      <c r="AQ47" s="44">
        <v>0</v>
      </c>
      <c r="AR47" s="44">
        <f t="shared" si="33"/>
        <v>0</v>
      </c>
      <c r="AS47" s="115"/>
      <c r="AT47" s="115"/>
      <c r="AW47" s="115"/>
      <c r="AX47" s="257"/>
    </row>
    <row r="48" spans="1:101">
      <c r="A48" s="194">
        <v>43</v>
      </c>
      <c r="B48" s="193" t="s">
        <v>291</v>
      </c>
      <c r="C48" s="193"/>
      <c r="D48" s="194">
        <v>1</v>
      </c>
      <c r="E48" s="194" t="s">
        <v>54</v>
      </c>
      <c r="F48" s="194" t="s">
        <v>54</v>
      </c>
      <c r="G48" s="194" t="s">
        <v>54</v>
      </c>
      <c r="H48" s="193"/>
      <c r="I48" s="193" t="s">
        <v>82</v>
      </c>
      <c r="J48" s="193" t="s">
        <v>57</v>
      </c>
      <c r="K48" s="193"/>
      <c r="L48" s="193">
        <v>22</v>
      </c>
      <c r="M48" s="193"/>
      <c r="N48" s="195">
        <f t="shared" si="29"/>
        <v>1633.2796610169491</v>
      </c>
      <c r="O48" s="193">
        <v>1927.27</v>
      </c>
      <c r="P48" s="10">
        <f t="shared" si="30"/>
        <v>42399.94</v>
      </c>
      <c r="Q48" s="44">
        <v>42400</v>
      </c>
      <c r="R48" s="10">
        <v>0</v>
      </c>
      <c r="S48" s="161">
        <f t="shared" si="14"/>
        <v>-5.9999999997671694E-2</v>
      </c>
      <c r="T48" s="161"/>
      <c r="U48" s="161"/>
      <c r="V48" s="154">
        <f t="shared" ref="V48:V49" si="34">SUM(Q48:R48)/P48</f>
        <v>1.0000014150963421</v>
      </c>
      <c r="W48" s="65">
        <v>1</v>
      </c>
      <c r="X48" s="49">
        <f>Q48</f>
        <v>42400</v>
      </c>
      <c r="Y48" s="197" t="s">
        <v>130</v>
      </c>
      <c r="Z48" s="197" t="s">
        <v>202</v>
      </c>
      <c r="AA48" s="248"/>
      <c r="AB48" s="10"/>
      <c r="AC48" s="249"/>
      <c r="AD48" s="249"/>
      <c r="AE48" s="248"/>
      <c r="AF48" s="10"/>
      <c r="AG48" s="250"/>
      <c r="AH48" s="250"/>
      <c r="AI48" s="248"/>
      <c r="AJ48" s="10"/>
      <c r="AK48" s="250"/>
      <c r="AL48" s="250"/>
      <c r="AM48" s="196"/>
      <c r="AN48" s="246" t="s">
        <v>361</v>
      </c>
      <c r="AO48" s="44">
        <v>0</v>
      </c>
      <c r="AP48" s="44">
        <f>Q48+R48</f>
        <v>42400</v>
      </c>
      <c r="AQ48" s="44">
        <v>0</v>
      </c>
      <c r="AR48" s="44">
        <f t="shared" si="33"/>
        <v>-5.9999999997671694E-2</v>
      </c>
      <c r="AS48" s="115"/>
      <c r="AT48" s="115"/>
      <c r="AW48" s="115"/>
      <c r="AX48" s="257"/>
    </row>
    <row r="49" spans="1:50">
      <c r="A49" s="194">
        <v>44</v>
      </c>
      <c r="B49" s="193" t="s">
        <v>292</v>
      </c>
      <c r="C49" s="193"/>
      <c r="D49" s="194">
        <v>1</v>
      </c>
      <c r="E49" s="194" t="s">
        <v>54</v>
      </c>
      <c r="F49" s="194" t="s">
        <v>54</v>
      </c>
      <c r="G49" s="194" t="s">
        <v>54</v>
      </c>
      <c r="H49" s="193"/>
      <c r="I49" s="193" t="s">
        <v>293</v>
      </c>
      <c r="J49" s="193" t="s">
        <v>294</v>
      </c>
      <c r="K49" s="193"/>
      <c r="L49" s="193">
        <v>30</v>
      </c>
      <c r="M49" s="193"/>
      <c r="N49" s="195">
        <f t="shared" si="29"/>
        <v>1271.1864406779662</v>
      </c>
      <c r="O49" s="193">
        <v>1500</v>
      </c>
      <c r="P49" s="10">
        <f t="shared" si="30"/>
        <v>45000</v>
      </c>
      <c r="Q49" s="44">
        <v>45000</v>
      </c>
      <c r="R49" s="10">
        <v>0</v>
      </c>
      <c r="S49" s="161">
        <f t="shared" si="14"/>
        <v>0</v>
      </c>
      <c r="T49" s="161"/>
      <c r="U49" s="161"/>
      <c r="V49" s="154">
        <f t="shared" si="34"/>
        <v>1</v>
      </c>
      <c r="W49" s="65">
        <v>1</v>
      </c>
      <c r="X49" s="49">
        <f>Q49</f>
        <v>45000</v>
      </c>
      <c r="Y49" s="197" t="s">
        <v>277</v>
      </c>
      <c r="Z49" s="197" t="s">
        <v>202</v>
      </c>
      <c r="AA49" s="248"/>
      <c r="AB49" s="10"/>
      <c r="AC49" s="249"/>
      <c r="AD49" s="249"/>
      <c r="AE49" s="248"/>
      <c r="AF49" s="10"/>
      <c r="AG49" s="250"/>
      <c r="AH49" s="250"/>
      <c r="AI49" s="248"/>
      <c r="AJ49" s="10"/>
      <c r="AK49" s="250"/>
      <c r="AL49" s="250"/>
      <c r="AM49" s="196"/>
      <c r="AN49" s="246" t="s">
        <v>361</v>
      </c>
      <c r="AO49" s="44">
        <v>0</v>
      </c>
      <c r="AP49" s="44">
        <f>Q49+R49</f>
        <v>45000</v>
      </c>
      <c r="AQ49" s="44">
        <v>0</v>
      </c>
      <c r="AR49" s="44">
        <f t="shared" ref="AR49" si="35">S49</f>
        <v>0</v>
      </c>
      <c r="AS49" s="115"/>
      <c r="AT49" s="115"/>
      <c r="AW49" s="115"/>
      <c r="AX49" s="257"/>
    </row>
    <row r="50" spans="1:50">
      <c r="A50" s="210">
        <f>A49+1</f>
        <v>45</v>
      </c>
      <c r="B50" s="5" t="s">
        <v>307</v>
      </c>
      <c r="C50" s="31" t="s">
        <v>308</v>
      </c>
      <c r="D50" s="31">
        <v>1</v>
      </c>
      <c r="E50" s="31" t="s">
        <v>164</v>
      </c>
      <c r="F50" s="211">
        <v>45765</v>
      </c>
      <c r="G50" s="31" t="s">
        <v>266</v>
      </c>
      <c r="H50" s="5" t="s">
        <v>55</v>
      </c>
      <c r="I50" s="5" t="s">
        <v>309</v>
      </c>
      <c r="J50" s="5" t="s">
        <v>310</v>
      </c>
      <c r="K50" s="5">
        <v>300</v>
      </c>
      <c r="L50" s="5">
        <v>150</v>
      </c>
      <c r="M50" s="5"/>
      <c r="N50" s="41">
        <f t="shared" ref="N50:N70" si="36">O50*100/118</f>
        <v>1016.9491525423729</v>
      </c>
      <c r="O50" s="20">
        <v>1200</v>
      </c>
      <c r="P50" s="10">
        <f t="shared" ref="P50:P72" si="37">IFERROR(L50*O50,0)</f>
        <v>180000</v>
      </c>
      <c r="Q50" s="10">
        <v>63000</v>
      </c>
      <c r="R50" s="13">
        <v>0</v>
      </c>
      <c r="S50" s="147">
        <f>P50-Q50-R50-T50</f>
        <v>63000</v>
      </c>
      <c r="T50" s="147">
        <f>53500+500</f>
        <v>54000</v>
      </c>
      <c r="U50" s="147"/>
      <c r="V50" s="154">
        <f>SUM(Q50:R50)/P50</f>
        <v>0.35</v>
      </c>
      <c r="W50" s="65">
        <v>0.35</v>
      </c>
      <c r="X50" s="49">
        <f>P50*W50</f>
        <v>62999.999999999993</v>
      </c>
      <c r="Y50" s="49" t="s">
        <v>140</v>
      </c>
      <c r="Z50" s="49" t="s">
        <v>164</v>
      </c>
      <c r="AA50" s="191">
        <v>0.3</v>
      </c>
      <c r="AB50" s="189">
        <f>P50*AA50</f>
        <v>54000</v>
      </c>
      <c r="AC50" s="189" t="s">
        <v>256</v>
      </c>
      <c r="AD50" s="189" t="s">
        <v>266</v>
      </c>
      <c r="AE50" s="212">
        <v>0.35</v>
      </c>
      <c r="AF50" s="178">
        <f t="shared" ref="AF50:AF55" si="38">P50*AE50</f>
        <v>62999.999999999993</v>
      </c>
      <c r="AG50" s="178" t="s">
        <v>285</v>
      </c>
      <c r="AH50" s="178" t="s">
        <v>266</v>
      </c>
      <c r="AI50" s="52"/>
      <c r="AJ50" s="10">
        <f t="shared" ref="AJ50:AJ55" si="39">P50*AI50</f>
        <v>0</v>
      </c>
      <c r="AK50" s="213"/>
      <c r="AL50" s="52"/>
      <c r="AM50" s="214"/>
      <c r="AN50" s="1" t="s">
        <v>362</v>
      </c>
      <c r="AO50" s="44">
        <v>0</v>
      </c>
      <c r="AP50" s="44">
        <f>Q50+R50+T50</f>
        <v>117000</v>
      </c>
      <c r="AQ50" s="44">
        <v>0</v>
      </c>
      <c r="AR50" s="44">
        <f t="shared" ref="AR50:AR73" si="40">S50</f>
        <v>63000</v>
      </c>
      <c r="AS50" s="27"/>
      <c r="AT50" s="115"/>
      <c r="AU50" s="115"/>
      <c r="AW50" s="115"/>
      <c r="AX50" s="257"/>
    </row>
    <row r="51" spans="1:50">
      <c r="A51" s="210">
        <f t="shared" ref="A51:A73" si="41">A50+1</f>
        <v>46</v>
      </c>
      <c r="B51" s="256" t="s">
        <v>311</v>
      </c>
      <c r="C51" s="31" t="s">
        <v>308</v>
      </c>
      <c r="D51" s="31">
        <v>1</v>
      </c>
      <c r="E51" s="31" t="s">
        <v>164</v>
      </c>
      <c r="F51" s="215">
        <v>45759</v>
      </c>
      <c r="G51" s="215" t="s">
        <v>266</v>
      </c>
      <c r="H51" s="5" t="s">
        <v>55</v>
      </c>
      <c r="I51" s="82" t="s">
        <v>312</v>
      </c>
      <c r="J51" s="5" t="s">
        <v>310</v>
      </c>
      <c r="K51" s="5">
        <v>300</v>
      </c>
      <c r="L51" s="5">
        <v>373</v>
      </c>
      <c r="M51" s="5"/>
      <c r="N51" s="41">
        <f t="shared" si="36"/>
        <v>677.96610169491521</v>
      </c>
      <c r="O51" s="41">
        <v>800</v>
      </c>
      <c r="P51" s="10">
        <f t="shared" si="37"/>
        <v>298400</v>
      </c>
      <c r="Q51" s="10">
        <f>104440+89520</f>
        <v>193960</v>
      </c>
      <c r="R51" s="13">
        <v>0</v>
      </c>
      <c r="S51" s="147">
        <f>P51-Q51-R51</f>
        <v>104440</v>
      </c>
      <c r="T51" s="147"/>
      <c r="U51" s="147"/>
      <c r="V51" s="154">
        <f>SUM(Q51:R51)/P51</f>
        <v>0.65</v>
      </c>
      <c r="W51" s="65">
        <v>0.35</v>
      </c>
      <c r="X51" s="49">
        <f>P51*W51</f>
        <v>104440</v>
      </c>
      <c r="Y51" s="216" t="s">
        <v>140</v>
      </c>
      <c r="Z51" s="216" t="s">
        <v>164</v>
      </c>
      <c r="AA51" s="217">
        <v>0.3</v>
      </c>
      <c r="AB51" s="49">
        <f>P51*AA51</f>
        <v>89520</v>
      </c>
      <c r="AC51" s="49" t="s">
        <v>256</v>
      </c>
      <c r="AD51" s="49" t="s">
        <v>164</v>
      </c>
      <c r="AE51" s="212">
        <v>0.35</v>
      </c>
      <c r="AF51" s="178">
        <f t="shared" si="38"/>
        <v>104440</v>
      </c>
      <c r="AG51" s="178" t="s">
        <v>285</v>
      </c>
      <c r="AH51" s="178" t="s">
        <v>266</v>
      </c>
      <c r="AI51" s="52"/>
      <c r="AJ51" s="10">
        <f t="shared" si="39"/>
        <v>0</v>
      </c>
      <c r="AK51" s="213"/>
      <c r="AL51" s="52"/>
      <c r="AM51" s="214"/>
      <c r="AN51" s="1" t="s">
        <v>362</v>
      </c>
      <c r="AO51" s="44">
        <v>0</v>
      </c>
      <c r="AP51" s="44">
        <f>Q51+R51</f>
        <v>193960</v>
      </c>
      <c r="AQ51" s="44">
        <v>0</v>
      </c>
      <c r="AR51" s="44">
        <f t="shared" si="40"/>
        <v>104440</v>
      </c>
      <c r="AS51" s="27"/>
      <c r="AT51" s="15"/>
      <c r="AW51" s="115"/>
      <c r="AX51" s="257"/>
    </row>
    <row r="52" spans="1:50">
      <c r="A52" s="210">
        <f t="shared" si="41"/>
        <v>47</v>
      </c>
      <c r="B52" s="5" t="s">
        <v>313</v>
      </c>
      <c r="C52" s="31" t="s">
        <v>308</v>
      </c>
      <c r="D52" s="31">
        <v>1</v>
      </c>
      <c r="E52" s="31" t="s">
        <v>165</v>
      </c>
      <c r="F52" s="31" t="s">
        <v>165</v>
      </c>
      <c r="G52" s="215" t="s">
        <v>266</v>
      </c>
      <c r="H52" s="5" t="s">
        <v>55</v>
      </c>
      <c r="I52" s="5" t="s">
        <v>314</v>
      </c>
      <c r="J52" s="5" t="s">
        <v>310</v>
      </c>
      <c r="K52" s="5">
        <v>250</v>
      </c>
      <c r="L52" s="5">
        <v>218</v>
      </c>
      <c r="M52" s="5"/>
      <c r="N52" s="41">
        <f t="shared" si="36"/>
        <v>1271.1864406779662</v>
      </c>
      <c r="O52" s="41">
        <v>1500</v>
      </c>
      <c r="P52" s="10">
        <f t="shared" si="37"/>
        <v>327000</v>
      </c>
      <c r="Q52" s="10">
        <f>114450+98100</f>
        <v>212550</v>
      </c>
      <c r="R52" s="13">
        <v>0</v>
      </c>
      <c r="S52" s="147">
        <f>P52-Q52-R52-T52</f>
        <v>0</v>
      </c>
      <c r="T52" s="147">
        <v>114450</v>
      </c>
      <c r="U52" s="147"/>
      <c r="V52" s="154">
        <f>(Q52+T52)/P52</f>
        <v>1</v>
      </c>
      <c r="W52" s="65">
        <v>0.35</v>
      </c>
      <c r="X52" s="49">
        <f>P52*W52</f>
        <v>114450</v>
      </c>
      <c r="Y52" s="216" t="s">
        <v>140</v>
      </c>
      <c r="Z52" s="216" t="s">
        <v>164</v>
      </c>
      <c r="AA52" s="218">
        <v>0.3</v>
      </c>
      <c r="AB52" s="189">
        <f>P52*AA52</f>
        <v>98100</v>
      </c>
      <c r="AC52" s="189" t="s">
        <v>256</v>
      </c>
      <c r="AD52" s="189" t="s">
        <v>266</v>
      </c>
      <c r="AE52" s="218">
        <v>0.35</v>
      </c>
      <c r="AF52" s="189">
        <f t="shared" si="38"/>
        <v>114450</v>
      </c>
      <c r="AG52" s="189" t="s">
        <v>285</v>
      </c>
      <c r="AH52" s="189" t="s">
        <v>164</v>
      </c>
      <c r="AI52" s="53"/>
      <c r="AJ52" s="10">
        <f t="shared" si="39"/>
        <v>0</v>
      </c>
      <c r="AK52" s="219"/>
      <c r="AL52" s="53"/>
      <c r="AM52" s="14"/>
      <c r="AN52" s="1" t="s">
        <v>362</v>
      </c>
      <c r="AO52" s="44">
        <v>0</v>
      </c>
      <c r="AP52" s="44">
        <f>Q52+R52+T52</f>
        <v>327000</v>
      </c>
      <c r="AQ52" s="44">
        <v>0</v>
      </c>
      <c r="AR52" s="44">
        <f t="shared" si="40"/>
        <v>0</v>
      </c>
      <c r="AS52" s="27"/>
      <c r="AT52" s="15"/>
      <c r="AW52" s="115"/>
      <c r="AX52" s="257"/>
    </row>
    <row r="53" spans="1:50">
      <c r="A53" s="210">
        <f t="shared" si="41"/>
        <v>48</v>
      </c>
      <c r="B53" s="5" t="s">
        <v>315</v>
      </c>
      <c r="C53" s="43" t="s">
        <v>308</v>
      </c>
      <c r="D53" s="31">
        <v>1</v>
      </c>
      <c r="E53" s="43" t="s">
        <v>316</v>
      </c>
      <c r="F53" s="215">
        <v>45803</v>
      </c>
      <c r="G53" s="31" t="s">
        <v>266</v>
      </c>
      <c r="H53" s="5" t="s">
        <v>55</v>
      </c>
      <c r="I53" s="5" t="s">
        <v>314</v>
      </c>
      <c r="J53" s="5" t="s">
        <v>310</v>
      </c>
      <c r="K53" s="5">
        <v>508</v>
      </c>
      <c r="L53" s="5">
        <v>427</v>
      </c>
      <c r="M53" s="5"/>
      <c r="N53" s="41">
        <f t="shared" si="36"/>
        <v>593.22033898305085</v>
      </c>
      <c r="O53" s="41">
        <v>700</v>
      </c>
      <c r="P53" s="10">
        <f t="shared" si="37"/>
        <v>298900</v>
      </c>
      <c r="Q53" s="10">
        <f>102842+89670+102842</f>
        <v>295354</v>
      </c>
      <c r="R53" s="13">
        <f>1773+1773</f>
        <v>3546</v>
      </c>
      <c r="S53" s="147">
        <f t="shared" ref="S53:S63" si="42">P53-Q53-R53</f>
        <v>0</v>
      </c>
      <c r="T53" s="147"/>
      <c r="U53" s="147"/>
      <c r="V53" s="154">
        <f t="shared" ref="V53:V63" si="43">SUM(Q53:R53)/P53</f>
        <v>1</v>
      </c>
      <c r="W53" s="217">
        <v>0.35</v>
      </c>
      <c r="X53" s="49">
        <f>P53*W53</f>
        <v>104615</v>
      </c>
      <c r="Y53" s="216" t="s">
        <v>140</v>
      </c>
      <c r="Z53" s="216" t="s">
        <v>164</v>
      </c>
      <c r="AA53" s="217">
        <v>0.3</v>
      </c>
      <c r="AB53" s="49">
        <f>P53*AA53</f>
        <v>89670</v>
      </c>
      <c r="AC53" s="49" t="s">
        <v>256</v>
      </c>
      <c r="AD53" s="49" t="s">
        <v>266</v>
      </c>
      <c r="AE53" s="218">
        <v>0.35</v>
      </c>
      <c r="AF53" s="189">
        <f t="shared" si="38"/>
        <v>104615</v>
      </c>
      <c r="AG53" s="189" t="s">
        <v>285</v>
      </c>
      <c r="AH53" s="189" t="s">
        <v>164</v>
      </c>
      <c r="AI53" s="5"/>
      <c r="AJ53" s="10">
        <f t="shared" si="39"/>
        <v>0</v>
      </c>
      <c r="AK53" s="220"/>
      <c r="AL53" s="5"/>
      <c r="AN53" s="1" t="s">
        <v>362</v>
      </c>
      <c r="AO53" s="44">
        <v>0</v>
      </c>
      <c r="AP53" s="44">
        <f>Q53+R53</f>
        <v>298900</v>
      </c>
      <c r="AQ53" s="44">
        <v>0</v>
      </c>
      <c r="AR53" s="44">
        <f t="shared" si="40"/>
        <v>0</v>
      </c>
      <c r="AS53" s="27"/>
      <c r="AT53" s="15"/>
      <c r="AW53" s="115"/>
      <c r="AX53" s="257"/>
    </row>
    <row r="54" spans="1:50">
      <c r="A54" s="210">
        <f t="shared" si="41"/>
        <v>49</v>
      </c>
      <c r="B54" s="5" t="s">
        <v>317</v>
      </c>
      <c r="C54" s="43" t="s">
        <v>308</v>
      </c>
      <c r="D54" s="31">
        <v>1</v>
      </c>
      <c r="E54" s="43" t="s">
        <v>316</v>
      </c>
      <c r="F54" s="215">
        <v>45817</v>
      </c>
      <c r="G54" s="31" t="s">
        <v>266</v>
      </c>
      <c r="H54" s="5" t="s">
        <v>55</v>
      </c>
      <c r="I54" s="5" t="s">
        <v>314</v>
      </c>
      <c r="J54" s="5" t="s">
        <v>310</v>
      </c>
      <c r="K54" s="5">
        <v>200</v>
      </c>
      <c r="L54" s="5">
        <v>255</v>
      </c>
      <c r="M54" s="5"/>
      <c r="N54" s="41">
        <f t="shared" si="36"/>
        <v>593.22033898305085</v>
      </c>
      <c r="O54" s="41">
        <v>700</v>
      </c>
      <c r="P54" s="10">
        <f t="shared" si="37"/>
        <v>178500</v>
      </c>
      <c r="Q54" s="10">
        <f>62500+89250</f>
        <v>151750</v>
      </c>
      <c r="R54" s="13">
        <v>0</v>
      </c>
      <c r="S54" s="147">
        <f>P54-Q54-R54-T54</f>
        <v>0</v>
      </c>
      <c r="T54" s="147">
        <v>26750</v>
      </c>
      <c r="U54" s="147"/>
      <c r="V54" s="154">
        <f t="shared" si="43"/>
        <v>0.85014005602240894</v>
      </c>
      <c r="W54" s="217">
        <v>0.35</v>
      </c>
      <c r="X54" s="49">
        <f>P54*W54</f>
        <v>62474.999999999993</v>
      </c>
      <c r="Y54" s="216" t="s">
        <v>140</v>
      </c>
      <c r="Z54" s="216" t="s">
        <v>164</v>
      </c>
      <c r="AA54" s="218">
        <v>0.5</v>
      </c>
      <c r="AB54" s="189">
        <f>P54*AA54</f>
        <v>89250</v>
      </c>
      <c r="AC54" s="189" t="s">
        <v>256</v>
      </c>
      <c r="AD54" s="189" t="s">
        <v>164</v>
      </c>
      <c r="AE54" s="218">
        <v>0.15</v>
      </c>
      <c r="AF54" s="189">
        <f t="shared" si="38"/>
        <v>26775</v>
      </c>
      <c r="AG54" s="189" t="s">
        <v>285</v>
      </c>
      <c r="AH54" s="189" t="s">
        <v>266</v>
      </c>
      <c r="AI54" s="5"/>
      <c r="AJ54" s="10">
        <f t="shared" si="39"/>
        <v>0</v>
      </c>
      <c r="AK54" s="220"/>
      <c r="AL54" s="5"/>
      <c r="AN54" s="1" t="s">
        <v>362</v>
      </c>
      <c r="AO54" s="44">
        <v>0</v>
      </c>
      <c r="AP54" s="44">
        <f>Q54+T54</f>
        <v>178500</v>
      </c>
      <c r="AQ54" s="44">
        <v>0</v>
      </c>
      <c r="AR54" s="44">
        <f t="shared" si="40"/>
        <v>0</v>
      </c>
      <c r="AS54" s="27"/>
      <c r="AT54" s="15"/>
      <c r="AW54" s="115"/>
      <c r="AX54" s="257"/>
    </row>
    <row r="55" spans="1:50">
      <c r="A55" s="210">
        <f t="shared" si="41"/>
        <v>50</v>
      </c>
      <c r="B55" s="5" t="s">
        <v>318</v>
      </c>
      <c r="C55" s="43" t="s">
        <v>308</v>
      </c>
      <c r="D55" s="31">
        <v>1</v>
      </c>
      <c r="E55" s="31" t="s">
        <v>319</v>
      </c>
      <c r="F55" s="31" t="s">
        <v>319</v>
      </c>
      <c r="G55" s="31" t="s">
        <v>202</v>
      </c>
      <c r="H55" s="5" t="s">
        <v>55</v>
      </c>
      <c r="I55" s="221" t="s">
        <v>314</v>
      </c>
      <c r="J55" s="221" t="s">
        <v>310</v>
      </c>
      <c r="K55" s="5">
        <v>0</v>
      </c>
      <c r="L55" s="172">
        <v>33</v>
      </c>
      <c r="M55" s="172"/>
      <c r="N55" s="222">
        <f t="shared" si="36"/>
        <v>1016.9491525423729</v>
      </c>
      <c r="O55" s="222">
        <v>1200</v>
      </c>
      <c r="P55" s="52">
        <f t="shared" si="37"/>
        <v>39600</v>
      </c>
      <c r="Q55" s="10">
        <v>16000</v>
      </c>
      <c r="R55" s="13">
        <v>0</v>
      </c>
      <c r="S55" s="147">
        <f t="shared" si="42"/>
        <v>23600</v>
      </c>
      <c r="T55" s="147"/>
      <c r="U55" s="147"/>
      <c r="V55" s="154">
        <f t="shared" si="43"/>
        <v>0.40404040404040403</v>
      </c>
      <c r="W55" s="217"/>
      <c r="X55" s="49">
        <v>16000</v>
      </c>
      <c r="Y55" s="216" t="s">
        <v>285</v>
      </c>
      <c r="Z55" s="216" t="s">
        <v>164</v>
      </c>
      <c r="AA55" s="212"/>
      <c r="AB55" s="178">
        <f>P55-Q55</f>
        <v>23600</v>
      </c>
      <c r="AC55" s="178"/>
      <c r="AD55" s="178"/>
      <c r="AE55" s="83">
        <v>0</v>
      </c>
      <c r="AF55" s="10">
        <f t="shared" si="38"/>
        <v>0</v>
      </c>
      <c r="AG55" s="5"/>
      <c r="AH55" s="5"/>
      <c r="AI55" s="5"/>
      <c r="AJ55" s="10">
        <f t="shared" si="39"/>
        <v>0</v>
      </c>
      <c r="AK55" s="220"/>
      <c r="AL55" s="5"/>
      <c r="AN55" s="1" t="s">
        <v>362</v>
      </c>
      <c r="AO55" s="44">
        <v>0</v>
      </c>
      <c r="AP55" s="44">
        <f>Q55+R55</f>
        <v>16000</v>
      </c>
      <c r="AQ55" s="44">
        <v>0</v>
      </c>
      <c r="AR55" s="44">
        <f t="shared" si="40"/>
        <v>23600</v>
      </c>
      <c r="AS55" s="27"/>
      <c r="AT55" s="15"/>
      <c r="AW55" s="115"/>
      <c r="AX55" s="257"/>
    </row>
    <row r="56" spans="1:50">
      <c r="A56" s="210">
        <f t="shared" si="41"/>
        <v>51</v>
      </c>
      <c r="B56" s="5" t="s">
        <v>320</v>
      </c>
      <c r="C56" s="43" t="s">
        <v>308</v>
      </c>
      <c r="D56" s="31"/>
      <c r="E56" s="31"/>
      <c r="F56" s="31"/>
      <c r="G56" s="31" t="s">
        <v>202</v>
      </c>
      <c r="H56" s="5" t="s">
        <v>55</v>
      </c>
      <c r="I56" s="221" t="s">
        <v>314</v>
      </c>
      <c r="J56" s="221" t="s">
        <v>310</v>
      </c>
      <c r="K56" s="5"/>
      <c r="L56" s="172">
        <v>30</v>
      </c>
      <c r="M56" s="172"/>
      <c r="N56" s="222">
        <f t="shared" si="36"/>
        <v>1016.9491525423729</v>
      </c>
      <c r="O56" s="222">
        <v>1200</v>
      </c>
      <c r="P56" s="52">
        <f t="shared" si="37"/>
        <v>36000</v>
      </c>
      <c r="Q56" s="10">
        <v>19800</v>
      </c>
      <c r="R56" s="13">
        <v>0</v>
      </c>
      <c r="S56" s="147">
        <f t="shared" si="42"/>
        <v>16200</v>
      </c>
      <c r="T56" s="147"/>
      <c r="U56" s="147"/>
      <c r="V56" s="154">
        <f t="shared" si="43"/>
        <v>0.55000000000000004</v>
      </c>
      <c r="W56" s="217"/>
      <c r="X56" s="49">
        <v>19800</v>
      </c>
      <c r="Y56" s="216" t="s">
        <v>285</v>
      </c>
      <c r="Z56" s="216" t="s">
        <v>164</v>
      </c>
      <c r="AA56" s="212"/>
      <c r="AB56" s="178">
        <f>P56-Q56</f>
        <v>16200</v>
      </c>
      <c r="AC56" s="178"/>
      <c r="AD56" s="178"/>
      <c r="AE56" s="83"/>
      <c r="AF56" s="10"/>
      <c r="AG56" s="5"/>
      <c r="AH56" s="5"/>
      <c r="AI56" s="5"/>
      <c r="AJ56" s="10"/>
      <c r="AK56" s="220"/>
      <c r="AL56" s="5"/>
      <c r="AN56" s="1" t="s">
        <v>362</v>
      </c>
      <c r="AO56" s="44">
        <v>0</v>
      </c>
      <c r="AP56" s="44">
        <f>Q56+R56</f>
        <v>19800</v>
      </c>
      <c r="AQ56" s="44">
        <v>0</v>
      </c>
      <c r="AR56" s="44">
        <f t="shared" si="40"/>
        <v>16200</v>
      </c>
      <c r="AS56" s="27"/>
      <c r="AT56" s="15"/>
      <c r="AW56" s="115"/>
      <c r="AX56" s="257"/>
    </row>
    <row r="57" spans="1:50">
      <c r="A57" s="210">
        <f t="shared" si="41"/>
        <v>52</v>
      </c>
      <c r="B57" s="223" t="s">
        <v>321</v>
      </c>
      <c r="C57" s="31"/>
      <c r="D57" s="31">
        <v>1</v>
      </c>
      <c r="E57" s="31" t="s">
        <v>322</v>
      </c>
      <c r="F57" s="31" t="s">
        <v>165</v>
      </c>
      <c r="G57" s="31" t="s">
        <v>164</v>
      </c>
      <c r="H57" s="5" t="s">
        <v>323</v>
      </c>
      <c r="I57" s="5" t="s">
        <v>324</v>
      </c>
      <c r="J57" s="5" t="s">
        <v>294</v>
      </c>
      <c r="K57" s="5">
        <v>154</v>
      </c>
      <c r="L57" s="8">
        <v>166</v>
      </c>
      <c r="M57" s="8"/>
      <c r="N57" s="41">
        <f t="shared" si="36"/>
        <v>508.47457627118644</v>
      </c>
      <c r="O57" s="41">
        <v>600</v>
      </c>
      <c r="P57" s="10">
        <f t="shared" si="37"/>
        <v>99600</v>
      </c>
      <c r="Q57" s="10">
        <f>46200+53400</f>
        <v>99600</v>
      </c>
      <c r="R57" s="13">
        <v>0</v>
      </c>
      <c r="S57" s="147">
        <f t="shared" si="42"/>
        <v>0</v>
      </c>
      <c r="T57" s="147"/>
      <c r="U57" s="147"/>
      <c r="V57" s="154">
        <f t="shared" si="43"/>
        <v>1</v>
      </c>
      <c r="W57" s="65">
        <v>0.5</v>
      </c>
      <c r="X57" s="49">
        <f>P57*W57</f>
        <v>49800</v>
      </c>
      <c r="Y57" s="49" t="s">
        <v>130</v>
      </c>
      <c r="Z57" s="49" t="s">
        <v>164</v>
      </c>
      <c r="AA57" s="191">
        <v>0.5</v>
      </c>
      <c r="AB57" s="189">
        <f>P57*AA57</f>
        <v>49800</v>
      </c>
      <c r="AC57" s="224" t="s">
        <v>270</v>
      </c>
      <c r="AD57" s="224" t="s">
        <v>164</v>
      </c>
      <c r="AE57" s="10"/>
      <c r="AF57" s="10">
        <f t="shared" ref="AF57:AF63" si="44">P57*AE57</f>
        <v>0</v>
      </c>
      <c r="AG57" s="10"/>
      <c r="AH57" s="10"/>
      <c r="AI57" s="10"/>
      <c r="AJ57" s="10">
        <f t="shared" ref="AJ57:AJ63" si="45">P57*AI57</f>
        <v>0</v>
      </c>
      <c r="AK57" s="72"/>
      <c r="AL57" s="10"/>
      <c r="AM57" s="24"/>
      <c r="AN57" s="1" t="s">
        <v>362</v>
      </c>
      <c r="AO57" s="44">
        <v>0</v>
      </c>
      <c r="AP57" s="44">
        <f>Q57+R57</f>
        <v>99600</v>
      </c>
      <c r="AQ57" s="44">
        <v>0</v>
      </c>
      <c r="AR57" s="44">
        <f t="shared" si="40"/>
        <v>0</v>
      </c>
      <c r="AS57" s="27"/>
      <c r="AT57" s="15"/>
      <c r="AW57" s="115"/>
      <c r="AX57" s="257"/>
    </row>
    <row r="58" spans="1:50">
      <c r="A58" s="210">
        <f t="shared" si="41"/>
        <v>53</v>
      </c>
      <c r="B58" s="223" t="s">
        <v>325</v>
      </c>
      <c r="C58" s="31"/>
      <c r="D58" s="31">
        <v>1</v>
      </c>
      <c r="E58" s="31" t="s">
        <v>322</v>
      </c>
      <c r="F58" s="31" t="s">
        <v>165</v>
      </c>
      <c r="G58" s="31" t="s">
        <v>164</v>
      </c>
      <c r="H58" s="5" t="s">
        <v>323</v>
      </c>
      <c r="I58" s="5" t="s">
        <v>326</v>
      </c>
      <c r="J58" s="5" t="s">
        <v>294</v>
      </c>
      <c r="K58" s="5">
        <v>178</v>
      </c>
      <c r="L58" s="225">
        <v>178</v>
      </c>
      <c r="M58" s="225"/>
      <c r="N58" s="41">
        <f t="shared" si="36"/>
        <v>508.47457627118644</v>
      </c>
      <c r="O58" s="41">
        <v>600</v>
      </c>
      <c r="P58" s="10">
        <f t="shared" si="37"/>
        <v>106800</v>
      </c>
      <c r="Q58" s="10">
        <f>53400+53400</f>
        <v>106800</v>
      </c>
      <c r="R58" s="13">
        <v>0</v>
      </c>
      <c r="S58" s="147">
        <f t="shared" si="42"/>
        <v>0</v>
      </c>
      <c r="T58" s="147"/>
      <c r="U58" s="147"/>
      <c r="V58" s="154">
        <f t="shared" si="43"/>
        <v>1</v>
      </c>
      <c r="W58" s="65">
        <v>0.5</v>
      </c>
      <c r="X58" s="49">
        <f>P58*W58</f>
        <v>53400</v>
      </c>
      <c r="Y58" s="49" t="s">
        <v>130</v>
      </c>
      <c r="Z58" s="49" t="s">
        <v>164</v>
      </c>
      <c r="AA58" s="191">
        <v>0.5</v>
      </c>
      <c r="AB58" s="189">
        <f>P58*AA58</f>
        <v>53400</v>
      </c>
      <c r="AC58" s="189" t="s">
        <v>270</v>
      </c>
      <c r="AD58" s="224" t="s">
        <v>164</v>
      </c>
      <c r="AE58" s="10"/>
      <c r="AF58" s="10">
        <f t="shared" si="44"/>
        <v>0</v>
      </c>
      <c r="AG58" s="10"/>
      <c r="AH58" s="10"/>
      <c r="AI58" s="10"/>
      <c r="AJ58" s="10">
        <f t="shared" si="45"/>
        <v>0</v>
      </c>
      <c r="AK58" s="72"/>
      <c r="AL58" s="10"/>
      <c r="AM58" s="24"/>
      <c r="AN58" s="1" t="s">
        <v>362</v>
      </c>
      <c r="AO58" s="44">
        <v>0</v>
      </c>
      <c r="AP58" s="44">
        <f>Q58+R58</f>
        <v>106800</v>
      </c>
      <c r="AQ58" s="44">
        <v>0</v>
      </c>
      <c r="AR58" s="44">
        <f t="shared" si="40"/>
        <v>0</v>
      </c>
      <c r="AS58" s="27"/>
      <c r="AT58" s="15"/>
      <c r="AW58" s="115"/>
      <c r="AX58" s="257"/>
    </row>
    <row r="59" spans="1:50">
      <c r="A59" s="210">
        <f t="shared" si="41"/>
        <v>54</v>
      </c>
      <c r="B59" s="5" t="s">
        <v>327</v>
      </c>
      <c r="C59" s="31"/>
      <c r="D59" s="31">
        <v>1</v>
      </c>
      <c r="E59" s="31" t="s">
        <v>328</v>
      </c>
      <c r="F59" s="31" t="s">
        <v>165</v>
      </c>
      <c r="G59" s="31" t="s">
        <v>164</v>
      </c>
      <c r="H59" s="5" t="s">
        <v>153</v>
      </c>
      <c r="I59" s="5" t="s">
        <v>329</v>
      </c>
      <c r="J59" s="5" t="s">
        <v>294</v>
      </c>
      <c r="K59" s="5">
        <v>277</v>
      </c>
      <c r="L59" s="5">
        <v>285</v>
      </c>
      <c r="M59" s="5"/>
      <c r="N59" s="41">
        <f t="shared" si="36"/>
        <v>677.96610169491521</v>
      </c>
      <c r="O59" s="41">
        <v>800</v>
      </c>
      <c r="P59" s="10">
        <f t="shared" si="37"/>
        <v>228000</v>
      </c>
      <c r="Q59" s="5">
        <f>180000+28000</f>
        <v>208000</v>
      </c>
      <c r="R59" s="5">
        <v>20000</v>
      </c>
      <c r="S59" s="147">
        <f t="shared" si="42"/>
        <v>0</v>
      </c>
      <c r="T59" s="147"/>
      <c r="U59" s="147"/>
      <c r="V59" s="154">
        <f t="shared" si="43"/>
        <v>1</v>
      </c>
      <c r="W59" s="65"/>
      <c r="X59" s="49">
        <f>Q59+R59</f>
        <v>228000</v>
      </c>
      <c r="Y59" s="226" t="s">
        <v>140</v>
      </c>
      <c r="Z59" s="49" t="s">
        <v>164</v>
      </c>
      <c r="AA59" s="65">
        <v>0.35</v>
      </c>
      <c r="AB59" s="49">
        <v>28000</v>
      </c>
      <c r="AC59" s="226" t="s">
        <v>285</v>
      </c>
      <c r="AD59" s="49" t="s">
        <v>202</v>
      </c>
      <c r="AE59" s="5"/>
      <c r="AF59" s="10">
        <f t="shared" si="44"/>
        <v>0</v>
      </c>
      <c r="AG59" s="5"/>
      <c r="AH59" s="5"/>
      <c r="AI59" s="5"/>
      <c r="AJ59" s="10">
        <f t="shared" si="45"/>
        <v>0</v>
      </c>
      <c r="AK59" s="220"/>
      <c r="AL59" s="5"/>
      <c r="AN59" s="1" t="s">
        <v>362</v>
      </c>
      <c r="AO59" s="44">
        <v>0</v>
      </c>
      <c r="AP59" s="44">
        <f>X59</f>
        <v>228000</v>
      </c>
      <c r="AQ59" s="44">
        <v>0</v>
      </c>
      <c r="AR59" s="44">
        <f t="shared" si="40"/>
        <v>0</v>
      </c>
      <c r="AS59" s="27"/>
      <c r="AT59" s="15"/>
      <c r="AW59" s="115"/>
      <c r="AX59" s="257"/>
    </row>
    <row r="60" spans="1:50">
      <c r="A60" s="210">
        <f t="shared" si="41"/>
        <v>55</v>
      </c>
      <c r="B60" s="5" t="s">
        <v>330</v>
      </c>
      <c r="C60" s="31"/>
      <c r="D60" s="31">
        <v>1</v>
      </c>
      <c r="E60" s="31" t="s">
        <v>331</v>
      </c>
      <c r="F60" s="31" t="s">
        <v>164</v>
      </c>
      <c r="G60" s="31" t="s">
        <v>266</v>
      </c>
      <c r="H60" s="5" t="s">
        <v>55</v>
      </c>
      <c r="I60" s="5" t="s">
        <v>332</v>
      </c>
      <c r="J60" s="5" t="s">
        <v>333</v>
      </c>
      <c r="K60" s="10">
        <v>200</v>
      </c>
      <c r="L60" s="10">
        <v>244</v>
      </c>
      <c r="M60" s="10"/>
      <c r="N60" s="41">
        <f t="shared" si="36"/>
        <v>1694.9152542372881</v>
      </c>
      <c r="O60" s="41">
        <v>2000</v>
      </c>
      <c r="P60" s="10">
        <f t="shared" si="37"/>
        <v>488000</v>
      </c>
      <c r="Q60" s="10">
        <f>150000+150000</f>
        <v>300000</v>
      </c>
      <c r="R60" s="13">
        <v>0</v>
      </c>
      <c r="S60" s="147">
        <f t="shared" si="42"/>
        <v>188000</v>
      </c>
      <c r="T60" s="147"/>
      <c r="U60" s="147"/>
      <c r="V60" s="154">
        <f t="shared" si="43"/>
        <v>0.61475409836065575</v>
      </c>
      <c r="W60" s="65">
        <v>0.5</v>
      </c>
      <c r="X60" s="49">
        <f>P60*W60</f>
        <v>244000</v>
      </c>
      <c r="Y60" s="127" t="s">
        <v>140</v>
      </c>
      <c r="Z60" s="49" t="s">
        <v>164</v>
      </c>
      <c r="AA60" s="167">
        <v>0.5</v>
      </c>
      <c r="AB60" s="178">
        <f>P60*AA60</f>
        <v>244000</v>
      </c>
      <c r="AC60" s="166" t="s">
        <v>270</v>
      </c>
      <c r="AD60" s="166" t="s">
        <v>268</v>
      </c>
      <c r="AE60" s="12"/>
      <c r="AF60" s="10">
        <f t="shared" si="44"/>
        <v>0</v>
      </c>
      <c r="AG60" s="23"/>
      <c r="AH60" s="23"/>
      <c r="AI60" s="12"/>
      <c r="AJ60" s="10">
        <f t="shared" si="45"/>
        <v>0</v>
      </c>
      <c r="AK60" s="227"/>
      <c r="AL60" s="23"/>
      <c r="AM60" s="51"/>
      <c r="AN60" s="1" t="s">
        <v>362</v>
      </c>
      <c r="AO60" s="44">
        <f>Q60-X60</f>
        <v>56000</v>
      </c>
      <c r="AP60" s="44">
        <f>X60</f>
        <v>244000</v>
      </c>
      <c r="AQ60" s="44">
        <v>0</v>
      </c>
      <c r="AR60" s="44">
        <f t="shared" si="40"/>
        <v>188000</v>
      </c>
      <c r="AS60" s="27"/>
      <c r="AT60" s="15"/>
      <c r="AW60" s="115"/>
      <c r="AX60" s="257"/>
    </row>
    <row r="61" spans="1:50">
      <c r="A61" s="210">
        <f t="shared" si="41"/>
        <v>56</v>
      </c>
      <c r="B61" s="5" t="s">
        <v>334</v>
      </c>
      <c r="C61" s="31"/>
      <c r="D61" s="31">
        <v>1</v>
      </c>
      <c r="E61" s="31" t="s">
        <v>331</v>
      </c>
      <c r="F61" s="31" t="s">
        <v>164</v>
      </c>
      <c r="G61" s="31" t="s">
        <v>266</v>
      </c>
      <c r="H61" s="5" t="s">
        <v>55</v>
      </c>
      <c r="I61" s="5" t="s">
        <v>332</v>
      </c>
      <c r="J61" s="5" t="s">
        <v>333</v>
      </c>
      <c r="K61" s="10">
        <v>350</v>
      </c>
      <c r="L61" s="52">
        <v>280</v>
      </c>
      <c r="M61" s="52"/>
      <c r="N61" s="41">
        <f t="shared" si="36"/>
        <v>593.22033898305085</v>
      </c>
      <c r="O61" s="41">
        <v>700</v>
      </c>
      <c r="P61" s="10">
        <f t="shared" si="37"/>
        <v>196000</v>
      </c>
      <c r="Q61" s="10">
        <v>0</v>
      </c>
      <c r="R61" s="13">
        <v>0</v>
      </c>
      <c r="S61" s="147">
        <f t="shared" si="42"/>
        <v>196000</v>
      </c>
      <c r="T61" s="147"/>
      <c r="U61" s="147"/>
      <c r="V61" s="154">
        <f t="shared" si="43"/>
        <v>0</v>
      </c>
      <c r="W61" s="167">
        <v>0.25</v>
      </c>
      <c r="X61" s="178">
        <f>P61*W61</f>
        <v>49000</v>
      </c>
      <c r="Y61" s="181" t="s">
        <v>285</v>
      </c>
      <c r="Z61" s="181" t="s">
        <v>266</v>
      </c>
      <c r="AA61" s="167">
        <v>0.25</v>
      </c>
      <c r="AB61" s="178">
        <f>P61*AA61</f>
        <v>49000</v>
      </c>
      <c r="AC61" s="188" t="s">
        <v>285</v>
      </c>
      <c r="AD61" s="165"/>
      <c r="AE61" s="167">
        <v>0.25</v>
      </c>
      <c r="AF61" s="178">
        <f t="shared" si="44"/>
        <v>49000</v>
      </c>
      <c r="AG61" s="165"/>
      <c r="AH61" s="165" t="s">
        <v>266</v>
      </c>
      <c r="AI61" s="167">
        <v>0.25</v>
      </c>
      <c r="AJ61" s="178">
        <f t="shared" si="45"/>
        <v>49000</v>
      </c>
      <c r="AK61" s="228"/>
      <c r="AL61" s="229" t="s">
        <v>266</v>
      </c>
      <c r="AM61" s="247"/>
      <c r="AN61" s="1" t="s">
        <v>362</v>
      </c>
      <c r="AO61" s="44">
        <v>0</v>
      </c>
      <c r="AP61" s="44">
        <f t="shared" ref="AP61:AP73" si="46">Q61+R61</f>
        <v>0</v>
      </c>
      <c r="AQ61" s="44">
        <v>0</v>
      </c>
      <c r="AR61" s="44">
        <f t="shared" si="40"/>
        <v>196000</v>
      </c>
      <c r="AS61" s="27"/>
      <c r="AT61" s="15"/>
      <c r="AW61" s="115"/>
      <c r="AX61" s="257"/>
    </row>
    <row r="62" spans="1:50">
      <c r="A62" s="210">
        <f t="shared" si="41"/>
        <v>57</v>
      </c>
      <c r="B62" s="5" t="s">
        <v>335</v>
      </c>
      <c r="C62" s="31"/>
      <c r="D62" s="31">
        <v>1</v>
      </c>
      <c r="E62" s="31" t="s">
        <v>165</v>
      </c>
      <c r="F62" s="31" t="s">
        <v>165</v>
      </c>
      <c r="G62" s="31" t="s">
        <v>266</v>
      </c>
      <c r="H62" s="5"/>
      <c r="I62" s="5" t="s">
        <v>336</v>
      </c>
      <c r="J62" s="5" t="s">
        <v>333</v>
      </c>
      <c r="K62" s="5">
        <v>250</v>
      </c>
      <c r="L62" s="172">
        <v>90</v>
      </c>
      <c r="M62" s="172"/>
      <c r="N62" s="41">
        <f t="shared" si="36"/>
        <v>2118.6440677966102</v>
      </c>
      <c r="O62" s="41">
        <v>2500</v>
      </c>
      <c r="P62" s="10">
        <f t="shared" si="37"/>
        <v>225000</v>
      </c>
      <c r="Q62" s="10">
        <v>0</v>
      </c>
      <c r="R62" s="13">
        <v>0</v>
      </c>
      <c r="S62" s="147">
        <f t="shared" si="42"/>
        <v>225000</v>
      </c>
      <c r="T62" s="147"/>
      <c r="U62" s="147"/>
      <c r="V62" s="154">
        <f t="shared" si="43"/>
        <v>0</v>
      </c>
      <c r="W62" s="167">
        <v>0.5</v>
      </c>
      <c r="X62" s="178">
        <f>P62*W62</f>
        <v>112500</v>
      </c>
      <c r="Y62" s="181" t="s">
        <v>285</v>
      </c>
      <c r="Z62" s="181" t="s">
        <v>266</v>
      </c>
      <c r="AA62" s="167">
        <v>0.5</v>
      </c>
      <c r="AB62" s="178">
        <f>P62*AA62</f>
        <v>112500</v>
      </c>
      <c r="AC62" s="230"/>
      <c r="AD62" s="230"/>
      <c r="AE62" s="53"/>
      <c r="AF62" s="10">
        <f t="shared" si="44"/>
        <v>0</v>
      </c>
      <c r="AG62" s="53"/>
      <c r="AH62" s="53"/>
      <c r="AI62" s="53"/>
      <c r="AJ62" s="10">
        <f t="shared" si="45"/>
        <v>0</v>
      </c>
      <c r="AK62" s="219"/>
      <c r="AL62" s="53"/>
      <c r="AM62" s="14"/>
      <c r="AN62" s="1" t="s">
        <v>362</v>
      </c>
      <c r="AO62" s="44">
        <v>0</v>
      </c>
      <c r="AP62" s="44">
        <f t="shared" si="46"/>
        <v>0</v>
      </c>
      <c r="AQ62" s="44">
        <v>0</v>
      </c>
      <c r="AR62" s="44">
        <f t="shared" si="40"/>
        <v>225000</v>
      </c>
      <c r="AS62" s="27"/>
      <c r="AT62" s="15"/>
      <c r="AW62" s="115"/>
      <c r="AX62" s="257"/>
    </row>
    <row r="63" spans="1:50">
      <c r="A63" s="210">
        <f t="shared" si="41"/>
        <v>58</v>
      </c>
      <c r="B63" s="256" t="s">
        <v>337</v>
      </c>
      <c r="C63" s="31"/>
      <c r="D63" s="231">
        <v>1</v>
      </c>
      <c r="E63" s="31" t="s">
        <v>331</v>
      </c>
      <c r="F63" s="31" t="s">
        <v>164</v>
      </c>
      <c r="G63" s="31" t="s">
        <v>202</v>
      </c>
      <c r="H63" s="5" t="s">
        <v>55</v>
      </c>
      <c r="I63" s="5" t="s">
        <v>338</v>
      </c>
      <c r="J63" s="5" t="s">
        <v>333</v>
      </c>
      <c r="K63" s="5">
        <v>150</v>
      </c>
      <c r="L63" s="168">
        <v>65</v>
      </c>
      <c r="M63" s="168"/>
      <c r="N63" s="41">
        <f t="shared" si="36"/>
        <v>847.45762711864404</v>
      </c>
      <c r="O63" s="41">
        <v>1000</v>
      </c>
      <c r="P63" s="10">
        <f t="shared" si="37"/>
        <v>65000</v>
      </c>
      <c r="Q63" s="232">
        <v>40000</v>
      </c>
      <c r="R63" s="13">
        <v>0</v>
      </c>
      <c r="S63" s="147">
        <f t="shared" si="42"/>
        <v>25000</v>
      </c>
      <c r="T63" s="147"/>
      <c r="U63" s="147"/>
      <c r="V63" s="154">
        <f t="shared" si="43"/>
        <v>0.61538461538461542</v>
      </c>
      <c r="W63" s="65">
        <v>0.5</v>
      </c>
      <c r="X63" s="49">
        <f>Q63</f>
        <v>40000</v>
      </c>
      <c r="Y63" s="134" t="s">
        <v>285</v>
      </c>
      <c r="Z63" s="134"/>
      <c r="AA63" s="167" t="s">
        <v>339</v>
      </c>
      <c r="AB63" s="178">
        <f>P63-X63</f>
        <v>25000</v>
      </c>
      <c r="AC63" s="230"/>
      <c r="AD63" s="233"/>
      <c r="AE63" s="53"/>
      <c r="AF63" s="10">
        <f t="shared" si="44"/>
        <v>0</v>
      </c>
      <c r="AG63" s="53"/>
      <c r="AH63" s="53"/>
      <c r="AI63" s="53"/>
      <c r="AJ63" s="10">
        <f t="shared" si="45"/>
        <v>0</v>
      </c>
      <c r="AK63" s="219"/>
      <c r="AL63" s="53"/>
      <c r="AM63" s="14"/>
      <c r="AN63" s="1" t="s">
        <v>362</v>
      </c>
      <c r="AO63" s="44">
        <v>0</v>
      </c>
      <c r="AP63" s="44">
        <f t="shared" si="46"/>
        <v>40000</v>
      </c>
      <c r="AQ63" s="44">
        <v>0</v>
      </c>
      <c r="AR63" s="44">
        <f t="shared" si="40"/>
        <v>25000</v>
      </c>
      <c r="AS63" s="27"/>
      <c r="AT63" s="15"/>
      <c r="AW63" s="115"/>
      <c r="AX63" s="257"/>
    </row>
    <row r="64" spans="1:50">
      <c r="A64" s="210"/>
      <c r="B64" s="256" t="s">
        <v>337</v>
      </c>
      <c r="C64" s="31"/>
      <c r="D64" s="231"/>
      <c r="E64" s="31"/>
      <c r="F64" s="31"/>
      <c r="G64" s="31"/>
      <c r="H64" s="5"/>
      <c r="I64" s="5" t="s">
        <v>338</v>
      </c>
      <c r="J64" s="5" t="s">
        <v>333</v>
      </c>
      <c r="K64" s="5" t="s">
        <v>340</v>
      </c>
      <c r="L64" s="168">
        <v>3</v>
      </c>
      <c r="M64" s="168"/>
      <c r="N64" s="41">
        <v>1694.9152542372881</v>
      </c>
      <c r="O64" s="41">
        <v>2000</v>
      </c>
      <c r="P64" s="10">
        <v>6000</v>
      </c>
      <c r="Q64" s="232">
        <v>6000</v>
      </c>
      <c r="R64" s="13">
        <v>0</v>
      </c>
      <c r="S64" s="147">
        <v>0</v>
      </c>
      <c r="T64" s="147"/>
      <c r="U64" s="147"/>
      <c r="V64" s="154">
        <v>1</v>
      </c>
      <c r="W64" s="65">
        <v>1</v>
      </c>
      <c r="X64" s="49">
        <v>6000</v>
      </c>
      <c r="Y64" s="134" t="s">
        <v>256</v>
      </c>
      <c r="Z64" s="134"/>
      <c r="AA64" s="167"/>
      <c r="AB64" s="178"/>
      <c r="AC64" s="230"/>
      <c r="AD64" s="233"/>
      <c r="AE64" s="53"/>
      <c r="AF64" s="10">
        <v>0</v>
      </c>
      <c r="AG64" s="53"/>
      <c r="AH64" s="53"/>
      <c r="AI64" s="53"/>
      <c r="AJ64" s="10">
        <v>0</v>
      </c>
      <c r="AK64" s="219"/>
      <c r="AL64" s="53"/>
      <c r="AM64" s="14"/>
      <c r="AN64" s="1" t="s">
        <v>362</v>
      </c>
      <c r="AO64" s="44">
        <v>0</v>
      </c>
      <c r="AP64" s="44">
        <f t="shared" si="46"/>
        <v>6000</v>
      </c>
      <c r="AQ64" s="44">
        <v>0</v>
      </c>
      <c r="AR64" s="44">
        <f t="shared" si="40"/>
        <v>0</v>
      </c>
      <c r="AS64" s="27"/>
      <c r="AT64" s="15"/>
      <c r="AW64" s="115"/>
      <c r="AX64" s="257"/>
    </row>
    <row r="65" spans="1:50">
      <c r="A65" s="210">
        <f>A63+1</f>
        <v>59</v>
      </c>
      <c r="B65" s="5" t="s">
        <v>341</v>
      </c>
      <c r="C65" s="31"/>
      <c r="D65" s="31">
        <v>1</v>
      </c>
      <c r="E65" s="31" t="s">
        <v>165</v>
      </c>
      <c r="F65" s="31" t="s">
        <v>165</v>
      </c>
      <c r="G65" s="31" t="s">
        <v>202</v>
      </c>
      <c r="H65" s="5" t="s">
        <v>55</v>
      </c>
      <c r="I65" s="5" t="s">
        <v>332</v>
      </c>
      <c r="J65" s="5" t="s">
        <v>333</v>
      </c>
      <c r="K65" s="5">
        <v>450</v>
      </c>
      <c r="L65" s="172">
        <v>50</v>
      </c>
      <c r="M65" s="172"/>
      <c r="N65" s="41">
        <f t="shared" si="36"/>
        <v>2118.6440677966102</v>
      </c>
      <c r="O65" s="41">
        <v>2500</v>
      </c>
      <c r="P65" s="10">
        <f t="shared" si="37"/>
        <v>125000</v>
      </c>
      <c r="Q65" s="5">
        <v>40000</v>
      </c>
      <c r="R65" s="13">
        <v>0</v>
      </c>
      <c r="S65" s="147">
        <f t="shared" ref="S65:S66" si="47">P65-Q65-R65</f>
        <v>85000</v>
      </c>
      <c r="T65" s="147"/>
      <c r="U65" s="147"/>
      <c r="V65" s="154">
        <f t="shared" ref="V65:V66" si="48">SUM(Q65:R65)/P65</f>
        <v>0.32</v>
      </c>
      <c r="W65" s="65">
        <v>0.5</v>
      </c>
      <c r="X65" s="49">
        <f>Q65</f>
        <v>40000</v>
      </c>
      <c r="Y65" s="134" t="s">
        <v>285</v>
      </c>
      <c r="Z65" s="226"/>
      <c r="AA65" s="167" t="s">
        <v>339</v>
      </c>
      <c r="AB65" s="178">
        <f>P65-Q65</f>
        <v>85000</v>
      </c>
      <c r="AC65" s="188"/>
      <c r="AD65" s="188"/>
      <c r="AE65" s="5"/>
      <c r="AF65" s="10">
        <f>P65*AE65</f>
        <v>0</v>
      </c>
      <c r="AG65" s="5"/>
      <c r="AH65" s="5"/>
      <c r="AI65" s="5"/>
      <c r="AJ65" s="10">
        <f>P65*AI65</f>
        <v>0</v>
      </c>
      <c r="AK65" s="220"/>
      <c r="AL65" s="5"/>
      <c r="AN65" s="1" t="s">
        <v>362</v>
      </c>
      <c r="AO65" s="44">
        <v>0</v>
      </c>
      <c r="AP65" s="44">
        <f t="shared" si="46"/>
        <v>40000</v>
      </c>
      <c r="AQ65" s="44">
        <v>0</v>
      </c>
      <c r="AR65" s="44">
        <f t="shared" si="40"/>
        <v>85000</v>
      </c>
      <c r="AS65" s="27"/>
      <c r="AT65" s="15"/>
      <c r="AW65" s="115"/>
      <c r="AX65" s="257"/>
    </row>
    <row r="66" spans="1:50">
      <c r="A66" s="210">
        <f t="shared" si="41"/>
        <v>60</v>
      </c>
      <c r="B66" s="5" t="s">
        <v>342</v>
      </c>
      <c r="C66" s="31"/>
      <c r="D66" s="31"/>
      <c r="E66" s="31" t="s">
        <v>165</v>
      </c>
      <c r="F66" s="31" t="s">
        <v>165</v>
      </c>
      <c r="G66" s="31" t="s">
        <v>202</v>
      </c>
      <c r="H66" s="82" t="s">
        <v>153</v>
      </c>
      <c r="I66" s="5" t="s">
        <v>343</v>
      </c>
      <c r="J66" s="5" t="s">
        <v>294</v>
      </c>
      <c r="K66" s="5">
        <v>270</v>
      </c>
      <c r="L66" s="5">
        <v>232</v>
      </c>
      <c r="M66" s="5"/>
      <c r="N66" s="41">
        <f t="shared" si="36"/>
        <v>847.45762711864404</v>
      </c>
      <c r="O66" s="5">
        <v>1000</v>
      </c>
      <c r="P66" s="10">
        <f t="shared" si="37"/>
        <v>232000</v>
      </c>
      <c r="Q66" s="5">
        <f>65000+167000</f>
        <v>232000</v>
      </c>
      <c r="R66" s="13">
        <v>0</v>
      </c>
      <c r="S66" s="147">
        <f t="shared" si="47"/>
        <v>0</v>
      </c>
      <c r="T66" s="147"/>
      <c r="U66" s="147"/>
      <c r="V66" s="154">
        <f t="shared" si="48"/>
        <v>1</v>
      </c>
      <c r="W66" s="134"/>
      <c r="X66" s="49">
        <v>65000</v>
      </c>
      <c r="Y66" s="134" t="s">
        <v>159</v>
      </c>
      <c r="Z66" s="134" t="s">
        <v>164</v>
      </c>
      <c r="AA66" s="205"/>
      <c r="AB66" s="189">
        <v>65000</v>
      </c>
      <c r="AC66" s="205" t="s">
        <v>232</v>
      </c>
      <c r="AD66" s="206" t="s">
        <v>164</v>
      </c>
      <c r="AE66" s="205"/>
      <c r="AF66" s="189">
        <v>102000</v>
      </c>
      <c r="AG66" s="205" t="s">
        <v>256</v>
      </c>
      <c r="AH66" s="205" t="s">
        <v>164</v>
      </c>
      <c r="AI66" s="53"/>
      <c r="AJ66" s="10">
        <f>P66*AI66</f>
        <v>0</v>
      </c>
      <c r="AK66" s="219"/>
      <c r="AL66" s="53"/>
      <c r="AM66" s="14"/>
      <c r="AN66" s="1" t="s">
        <v>362</v>
      </c>
      <c r="AO66" s="44">
        <v>0</v>
      </c>
      <c r="AP66" s="44">
        <f t="shared" si="46"/>
        <v>232000</v>
      </c>
      <c r="AQ66" s="44">
        <v>0</v>
      </c>
      <c r="AR66" s="44">
        <f t="shared" si="40"/>
        <v>0</v>
      </c>
      <c r="AS66" s="27"/>
      <c r="AT66" s="15"/>
      <c r="AW66" s="115"/>
      <c r="AX66" s="257"/>
    </row>
    <row r="67" spans="1:50">
      <c r="A67" s="210">
        <f t="shared" si="41"/>
        <v>61</v>
      </c>
      <c r="B67" s="223" t="s">
        <v>344</v>
      </c>
      <c r="C67" s="31"/>
      <c r="D67" s="31">
        <v>1</v>
      </c>
      <c r="E67" s="31" t="s">
        <v>202</v>
      </c>
      <c r="F67" s="234">
        <v>45852</v>
      </c>
      <c r="G67" s="31" t="s">
        <v>202</v>
      </c>
      <c r="H67" s="82" t="s">
        <v>345</v>
      </c>
      <c r="I67" s="5" t="s">
        <v>346</v>
      </c>
      <c r="J67" s="5" t="s">
        <v>294</v>
      </c>
      <c r="K67" s="5">
        <v>207</v>
      </c>
      <c r="L67" s="225">
        <v>207</v>
      </c>
      <c r="M67" s="225"/>
      <c r="N67" s="41">
        <f t="shared" si="36"/>
        <v>1271.1864406779662</v>
      </c>
      <c r="O67" s="41">
        <v>1500</v>
      </c>
      <c r="P67" s="10">
        <f t="shared" si="37"/>
        <v>310500</v>
      </c>
      <c r="Q67" s="235">
        <f>69887+69863+69863</f>
        <v>209613</v>
      </c>
      <c r="R67" s="5">
        <f>7738+7762+7762</f>
        <v>23262</v>
      </c>
      <c r="S67" s="147">
        <f>P67-Q67-R67-T67-U67</f>
        <v>0</v>
      </c>
      <c r="T67" s="147">
        <v>69863</v>
      </c>
      <c r="U67" s="147">
        <v>7762</v>
      </c>
      <c r="V67" s="154">
        <f>(Q67+R67+T67+U67)/P67</f>
        <v>1</v>
      </c>
      <c r="W67" s="236">
        <v>0.25</v>
      </c>
      <c r="X67" s="237">
        <f>P67*W67</f>
        <v>77625</v>
      </c>
      <c r="Y67" s="216" t="s">
        <v>159</v>
      </c>
      <c r="Z67" s="216" t="s">
        <v>164</v>
      </c>
      <c r="AA67" s="236">
        <v>0.25</v>
      </c>
      <c r="AB67" s="226">
        <f>P67*AA67</f>
        <v>77625</v>
      </c>
      <c r="AC67" s="226" t="s">
        <v>270</v>
      </c>
      <c r="AD67" s="226" t="s">
        <v>164</v>
      </c>
      <c r="AE67" s="236">
        <v>0.25</v>
      </c>
      <c r="AF67" s="238">
        <f>P67*25%</f>
        <v>77625</v>
      </c>
      <c r="AG67" s="239" t="s">
        <v>347</v>
      </c>
      <c r="AH67" s="49" t="s">
        <v>164</v>
      </c>
      <c r="AI67" s="251">
        <v>0.25</v>
      </c>
      <c r="AJ67" s="252">
        <f>P67*AI67</f>
        <v>77625</v>
      </c>
      <c r="AK67" s="253" t="s">
        <v>348</v>
      </c>
      <c r="AL67" s="239" t="s">
        <v>164</v>
      </c>
      <c r="AM67" s="246"/>
      <c r="AN67" s="1" t="s">
        <v>362</v>
      </c>
      <c r="AO67" s="44">
        <v>0</v>
      </c>
      <c r="AP67" s="44">
        <f>Q67+R67+T67+U67</f>
        <v>310500</v>
      </c>
      <c r="AQ67" s="44">
        <v>0</v>
      </c>
      <c r="AR67" s="44">
        <f t="shared" si="40"/>
        <v>0</v>
      </c>
      <c r="AS67" s="27"/>
      <c r="AT67" s="15"/>
      <c r="AW67" s="115"/>
      <c r="AX67" s="257"/>
    </row>
    <row r="68" spans="1:50">
      <c r="A68" s="210">
        <f t="shared" si="41"/>
        <v>62</v>
      </c>
      <c r="B68" s="223" t="s">
        <v>349</v>
      </c>
      <c r="C68" s="31"/>
      <c r="D68" s="31">
        <v>1</v>
      </c>
      <c r="E68" s="31" t="s">
        <v>266</v>
      </c>
      <c r="F68" s="234" t="s">
        <v>350</v>
      </c>
      <c r="G68" s="31" t="s">
        <v>202</v>
      </c>
      <c r="H68" s="82" t="s">
        <v>153</v>
      </c>
      <c r="I68" s="5" t="s">
        <v>293</v>
      </c>
      <c r="J68" s="5" t="s">
        <v>294</v>
      </c>
      <c r="K68" s="5"/>
      <c r="L68" s="225">
        <v>48</v>
      </c>
      <c r="M68" s="225"/>
      <c r="N68" s="41">
        <f t="shared" si="36"/>
        <v>2118.6440677966102</v>
      </c>
      <c r="O68" s="41">
        <v>2500</v>
      </c>
      <c r="P68" s="10">
        <f t="shared" si="37"/>
        <v>120000</v>
      </c>
      <c r="Q68" s="40">
        <f>54000+54000</f>
        <v>108000</v>
      </c>
      <c r="R68" s="13">
        <v>12000</v>
      </c>
      <c r="S68" s="147">
        <f t="shared" ref="S68:S73" si="49">P68-Q68-R68</f>
        <v>0</v>
      </c>
      <c r="T68" s="147"/>
      <c r="U68" s="147"/>
      <c r="V68" s="154">
        <f t="shared" ref="V68:V73" si="50">SUM(Q68:R68)/P68</f>
        <v>1</v>
      </c>
      <c r="W68" s="236">
        <v>1</v>
      </c>
      <c r="X68" s="237">
        <f>P68*W68</f>
        <v>120000</v>
      </c>
      <c r="Y68" s="216" t="s">
        <v>159</v>
      </c>
      <c r="Z68" s="216" t="s">
        <v>164</v>
      </c>
      <c r="AA68" s="240"/>
      <c r="AB68" s="5"/>
      <c r="AC68" s="5"/>
      <c r="AD68" s="5"/>
      <c r="AE68" s="240"/>
      <c r="AF68" s="240"/>
      <c r="AG68" s="40"/>
      <c r="AH68" s="10"/>
      <c r="AI68" s="40"/>
      <c r="AJ68" s="40"/>
      <c r="AK68" s="241"/>
      <c r="AL68" s="40"/>
      <c r="AM68"/>
      <c r="AN68" s="1" t="s">
        <v>362</v>
      </c>
      <c r="AO68" s="44">
        <v>0</v>
      </c>
      <c r="AP68" s="44">
        <f t="shared" si="46"/>
        <v>120000</v>
      </c>
      <c r="AQ68" s="44">
        <v>0</v>
      </c>
      <c r="AR68" s="44">
        <f t="shared" si="40"/>
        <v>0</v>
      </c>
      <c r="AS68" s="27"/>
      <c r="AT68" s="15"/>
      <c r="AW68" s="115"/>
      <c r="AX68" s="257"/>
    </row>
    <row r="69" spans="1:50">
      <c r="A69" s="210">
        <f t="shared" si="41"/>
        <v>63</v>
      </c>
      <c r="B69" s="5" t="s">
        <v>351</v>
      </c>
      <c r="C69" s="31"/>
      <c r="D69" s="31">
        <v>1</v>
      </c>
      <c r="E69" s="31" t="s">
        <v>266</v>
      </c>
      <c r="F69" s="234" t="s">
        <v>350</v>
      </c>
      <c r="G69" s="31" t="s">
        <v>164</v>
      </c>
      <c r="H69" s="82" t="s">
        <v>153</v>
      </c>
      <c r="I69" s="5" t="s">
        <v>352</v>
      </c>
      <c r="J69" s="5" t="s">
        <v>353</v>
      </c>
      <c r="K69" s="5" t="s">
        <v>354</v>
      </c>
      <c r="L69" s="5">
        <v>90</v>
      </c>
      <c r="M69" s="5"/>
      <c r="N69" s="9">
        <f t="shared" si="36"/>
        <v>1525.4237288135594</v>
      </c>
      <c r="O69" s="5">
        <v>1800</v>
      </c>
      <c r="P69" s="5">
        <f t="shared" si="37"/>
        <v>162000</v>
      </c>
      <c r="Q69" s="5">
        <f>68400+93600</f>
        <v>162000</v>
      </c>
      <c r="R69" s="5"/>
      <c r="S69" s="5">
        <f t="shared" si="49"/>
        <v>0</v>
      </c>
      <c r="T69" s="5"/>
      <c r="U69" s="5"/>
      <c r="V69" s="154">
        <f t="shared" si="50"/>
        <v>1</v>
      </c>
      <c r="W69" s="217"/>
      <c r="X69" s="226">
        <f>Q69</f>
        <v>162000</v>
      </c>
      <c r="Y69" s="216" t="s">
        <v>159</v>
      </c>
      <c r="Z69" s="216" t="s">
        <v>164</v>
      </c>
      <c r="AA69" s="218"/>
      <c r="AB69" s="206">
        <v>93600</v>
      </c>
      <c r="AC69" s="206" t="s">
        <v>355</v>
      </c>
      <c r="AD69" s="206" t="s">
        <v>202</v>
      </c>
      <c r="AE69" s="5"/>
      <c r="AF69" s="5"/>
      <c r="AG69" s="5"/>
      <c r="AH69" s="5"/>
      <c r="AI69" s="5"/>
      <c r="AJ69" s="5"/>
      <c r="AK69" s="220"/>
      <c r="AL69" s="5"/>
      <c r="AN69" s="1" t="s">
        <v>362</v>
      </c>
      <c r="AO69" s="44">
        <v>0</v>
      </c>
      <c r="AP69" s="44">
        <f t="shared" si="46"/>
        <v>162000</v>
      </c>
      <c r="AQ69" s="44">
        <v>0</v>
      </c>
      <c r="AR69" s="44">
        <f t="shared" si="40"/>
        <v>0</v>
      </c>
      <c r="AS69" s="27"/>
      <c r="AT69" s="15"/>
      <c r="AW69" s="115"/>
      <c r="AX69" s="257"/>
    </row>
    <row r="70" spans="1:50">
      <c r="A70" s="210">
        <f t="shared" si="41"/>
        <v>64</v>
      </c>
      <c r="B70" s="5" t="s">
        <v>356</v>
      </c>
      <c r="C70" s="31"/>
      <c r="D70" s="31">
        <v>1</v>
      </c>
      <c r="E70" s="31" t="s">
        <v>266</v>
      </c>
      <c r="F70" s="234" t="s">
        <v>350</v>
      </c>
      <c r="G70" s="31" t="s">
        <v>164</v>
      </c>
      <c r="H70" s="82" t="s">
        <v>153</v>
      </c>
      <c r="I70" s="5" t="s">
        <v>352</v>
      </c>
      <c r="J70" s="5" t="s">
        <v>353</v>
      </c>
      <c r="K70" s="5" t="s">
        <v>354</v>
      </c>
      <c r="L70" s="5">
        <v>48</v>
      </c>
      <c r="M70" s="5"/>
      <c r="N70" s="9">
        <f t="shared" si="36"/>
        <v>1525.4237288135594</v>
      </c>
      <c r="O70" s="5">
        <v>1800</v>
      </c>
      <c r="P70" s="5">
        <f t="shared" si="37"/>
        <v>86400</v>
      </c>
      <c r="Q70" s="5">
        <f>36900+49500</f>
        <v>86400</v>
      </c>
      <c r="R70" s="13">
        <v>0</v>
      </c>
      <c r="S70" s="147">
        <f t="shared" si="49"/>
        <v>0</v>
      </c>
      <c r="T70" s="147"/>
      <c r="U70" s="147"/>
      <c r="V70" s="154">
        <f t="shared" si="50"/>
        <v>1</v>
      </c>
      <c r="W70" s="217"/>
      <c r="X70" s="226">
        <f>Q70</f>
        <v>86400</v>
      </c>
      <c r="Y70" s="216" t="s">
        <v>159</v>
      </c>
      <c r="Z70" s="216" t="s">
        <v>164</v>
      </c>
      <c r="AA70" s="218"/>
      <c r="AB70" s="206">
        <v>49500</v>
      </c>
      <c r="AC70" s="206" t="s">
        <v>355</v>
      </c>
      <c r="AD70" s="206" t="s">
        <v>202</v>
      </c>
      <c r="AE70" s="5"/>
      <c r="AF70" s="5"/>
      <c r="AG70" s="5"/>
      <c r="AH70" s="5"/>
      <c r="AI70" s="5"/>
      <c r="AJ70" s="5"/>
      <c r="AK70" s="220"/>
      <c r="AL70" s="5"/>
      <c r="AN70" s="1" t="s">
        <v>362</v>
      </c>
      <c r="AO70" s="44">
        <v>0</v>
      </c>
      <c r="AP70" s="44">
        <f t="shared" si="46"/>
        <v>86400</v>
      </c>
      <c r="AQ70" s="44">
        <v>0</v>
      </c>
      <c r="AR70" s="44">
        <f t="shared" si="40"/>
        <v>0</v>
      </c>
      <c r="AS70" s="27"/>
      <c r="AT70" s="15"/>
      <c r="AW70" s="115"/>
      <c r="AX70" s="257"/>
    </row>
    <row r="71" spans="1:50">
      <c r="A71" s="210">
        <f t="shared" si="41"/>
        <v>65</v>
      </c>
      <c r="B71" s="255" t="s">
        <v>357</v>
      </c>
      <c r="C71" s="31"/>
      <c r="D71" s="31">
        <v>1</v>
      </c>
      <c r="E71" s="31"/>
      <c r="F71" s="234"/>
      <c r="G71" s="31" t="s">
        <v>202</v>
      </c>
      <c r="H71" s="82"/>
      <c r="I71" s="5"/>
      <c r="J71" s="5"/>
      <c r="K71" s="5">
        <v>36</v>
      </c>
      <c r="L71" s="5">
        <v>38</v>
      </c>
      <c r="M71" s="5"/>
      <c r="N71" s="9">
        <f>O71*100/118</f>
        <v>1016.9491525423729</v>
      </c>
      <c r="O71" s="5">
        <v>1200</v>
      </c>
      <c r="P71" s="5">
        <f t="shared" si="37"/>
        <v>45600</v>
      </c>
      <c r="Q71" s="5">
        <v>21600</v>
      </c>
      <c r="R71" s="13">
        <v>0</v>
      </c>
      <c r="S71" s="147">
        <f t="shared" si="49"/>
        <v>24000</v>
      </c>
      <c r="T71" s="147"/>
      <c r="U71" s="147"/>
      <c r="V71" s="154">
        <f t="shared" si="50"/>
        <v>0.47368421052631576</v>
      </c>
      <c r="W71" s="217"/>
      <c r="X71" s="226">
        <f>Q71</f>
        <v>21600</v>
      </c>
      <c r="Y71" s="216" t="s">
        <v>285</v>
      </c>
      <c r="Z71" s="216" t="s">
        <v>164</v>
      </c>
      <c r="AA71" s="212"/>
      <c r="AB71" s="188">
        <f>P71-X71</f>
        <v>24000</v>
      </c>
      <c r="AC71" s="188"/>
      <c r="AD71" s="188" t="s">
        <v>266</v>
      </c>
      <c r="AE71" s="5"/>
      <c r="AF71" s="5"/>
      <c r="AG71" s="5"/>
      <c r="AH71" s="5"/>
      <c r="AI71" s="5"/>
      <c r="AJ71" s="5"/>
      <c r="AK71" s="220"/>
      <c r="AL71" s="5"/>
      <c r="AN71" s="1" t="s">
        <v>362</v>
      </c>
      <c r="AO71" s="44">
        <v>0</v>
      </c>
      <c r="AP71" s="44">
        <f t="shared" si="46"/>
        <v>21600</v>
      </c>
      <c r="AQ71" s="44">
        <v>0</v>
      </c>
      <c r="AR71" s="44">
        <f t="shared" si="40"/>
        <v>24000</v>
      </c>
      <c r="AS71" s="27"/>
      <c r="AT71" s="15"/>
      <c r="AW71" s="115"/>
      <c r="AX71" s="257"/>
    </row>
    <row r="72" spans="1:50">
      <c r="A72" s="210">
        <f t="shared" si="41"/>
        <v>66</v>
      </c>
      <c r="B72" s="255" t="s">
        <v>358</v>
      </c>
      <c r="C72" s="31" t="s">
        <v>308</v>
      </c>
      <c r="D72" s="31"/>
      <c r="E72" s="31"/>
      <c r="F72" s="234"/>
      <c r="G72" s="31"/>
      <c r="H72" s="82"/>
      <c r="I72" s="5"/>
      <c r="J72" s="5"/>
      <c r="K72" s="5"/>
      <c r="L72" s="9">
        <v>25</v>
      </c>
      <c r="M72" s="9"/>
      <c r="N72" s="41">
        <f t="shared" ref="N72" si="51">O72*100/118</f>
        <v>2288.1355932203392</v>
      </c>
      <c r="O72" s="5">
        <v>2700</v>
      </c>
      <c r="P72" s="5">
        <f t="shared" si="37"/>
        <v>67500</v>
      </c>
      <c r="Q72" s="5">
        <f>30000+37500</f>
        <v>67500</v>
      </c>
      <c r="R72" s="13">
        <v>0</v>
      </c>
      <c r="S72" s="147">
        <f t="shared" si="49"/>
        <v>0</v>
      </c>
      <c r="T72" s="147"/>
      <c r="U72" s="147"/>
      <c r="V72" s="154">
        <f t="shared" si="50"/>
        <v>1</v>
      </c>
      <c r="W72" s="217"/>
      <c r="X72" s="226">
        <f>Q72</f>
        <v>67500</v>
      </c>
      <c r="Y72" s="216" t="s">
        <v>285</v>
      </c>
      <c r="Z72" s="216" t="s">
        <v>164</v>
      </c>
      <c r="AA72" s="218"/>
      <c r="AB72" s="206">
        <f>P72-X72</f>
        <v>0</v>
      </c>
      <c r="AC72" s="206"/>
      <c r="AD72" s="206" t="s">
        <v>202</v>
      </c>
      <c r="AE72" s="5"/>
      <c r="AF72" s="5"/>
      <c r="AG72" s="5"/>
      <c r="AH72" s="5"/>
      <c r="AI72" s="5"/>
      <c r="AJ72" s="5"/>
      <c r="AK72" s="220"/>
      <c r="AL72" s="5"/>
      <c r="AN72" s="1" t="s">
        <v>362</v>
      </c>
      <c r="AO72" s="44">
        <v>0</v>
      </c>
      <c r="AP72" s="44">
        <f t="shared" si="46"/>
        <v>67500</v>
      </c>
      <c r="AQ72" s="44">
        <v>0</v>
      </c>
      <c r="AR72" s="44">
        <f t="shared" si="40"/>
        <v>0</v>
      </c>
      <c r="AS72" s="27"/>
      <c r="AT72" s="15"/>
      <c r="AW72" s="115"/>
      <c r="AX72" s="257"/>
    </row>
    <row r="73" spans="1:50">
      <c r="A73" s="210">
        <f t="shared" si="41"/>
        <v>67</v>
      </c>
      <c r="B73" s="5" t="s">
        <v>201</v>
      </c>
      <c r="C73" s="31"/>
      <c r="D73" s="31">
        <v>1</v>
      </c>
      <c r="E73" s="31" t="s">
        <v>165</v>
      </c>
      <c r="F73" s="31" t="s">
        <v>165</v>
      </c>
      <c r="G73" s="31" t="s">
        <v>202</v>
      </c>
      <c r="H73" s="29"/>
      <c r="I73" s="5" t="s">
        <v>359</v>
      </c>
      <c r="J73" s="5" t="s">
        <v>360</v>
      </c>
      <c r="K73" s="5">
        <v>162</v>
      </c>
      <c r="L73" s="5">
        <v>83</v>
      </c>
      <c r="M73" s="5"/>
      <c r="N73" s="5">
        <v>1016.95</v>
      </c>
      <c r="O73" s="5">
        <v>1200</v>
      </c>
      <c r="P73" s="10">
        <f>IFERROR(L73*O73,0)</f>
        <v>99600</v>
      </c>
      <c r="Q73" s="44">
        <f>30000+68000</f>
        <v>98000</v>
      </c>
      <c r="R73" s="10">
        <v>1600</v>
      </c>
      <c r="S73" s="161">
        <f t="shared" si="49"/>
        <v>0</v>
      </c>
      <c r="T73" s="161"/>
      <c r="U73" s="161"/>
      <c r="V73" s="154">
        <f t="shared" si="50"/>
        <v>1</v>
      </c>
      <c r="W73" s="65">
        <v>0.3</v>
      </c>
      <c r="X73" s="49">
        <f>Q73</f>
        <v>98000</v>
      </c>
      <c r="Y73" s="130" t="s">
        <v>61</v>
      </c>
      <c r="Z73" s="130" t="s">
        <v>202</v>
      </c>
      <c r="AA73" s="242"/>
      <c r="AB73" s="189">
        <v>69600</v>
      </c>
      <c r="AC73" s="243">
        <v>45870</v>
      </c>
      <c r="AD73" s="243" t="s">
        <v>202</v>
      </c>
      <c r="AE73" s="83"/>
      <c r="AF73" s="10">
        <v>0</v>
      </c>
      <c r="AG73" s="244"/>
      <c r="AH73" s="244"/>
      <c r="AI73" s="83"/>
      <c r="AJ73" s="10"/>
      <c r="AK73" s="84"/>
      <c r="AL73" s="84"/>
      <c r="AM73" s="245"/>
      <c r="AN73" s="1" t="s">
        <v>362</v>
      </c>
      <c r="AO73" s="44">
        <v>0</v>
      </c>
      <c r="AP73" s="44">
        <f t="shared" si="46"/>
        <v>99600</v>
      </c>
      <c r="AQ73" s="44">
        <v>0</v>
      </c>
      <c r="AR73" s="44">
        <f t="shared" si="40"/>
        <v>0</v>
      </c>
      <c r="AS73" s="27"/>
      <c r="AT73" s="15"/>
      <c r="AW73" s="115"/>
      <c r="AX73" s="257"/>
    </row>
    <row r="74" spans="1:50">
      <c r="K74" s="1">
        <f>SUM(K5:K73)</f>
        <v>16044</v>
      </c>
      <c r="L74" s="1">
        <f>SUM(L5:L73)</f>
        <v>16311</v>
      </c>
      <c r="T74" s="15">
        <f>SUM(T5:T73)</f>
        <v>1881301</v>
      </c>
      <c r="U74" s="15">
        <f>SUM(U5:U73)</f>
        <v>82948</v>
      </c>
    </row>
    <row r="75" spans="1:50" ht="15.75" thickBot="1">
      <c r="AN75" s="200" t="s">
        <v>365</v>
      </c>
      <c r="AO75" s="201">
        <f>SUM(AO5:AO73)</f>
        <v>856000</v>
      </c>
      <c r="AP75" s="201">
        <f>SUM(AP5:AP73)</f>
        <v>26381166</v>
      </c>
      <c r="AQ75" s="201">
        <f>SUM(AQ5:AQ73)</f>
        <v>0.41039999999338761</v>
      </c>
      <c r="AR75" s="201">
        <f>SUM(AR5:AR73)</f>
        <v>1959269.64</v>
      </c>
    </row>
    <row r="76" spans="1:50" ht="16.5" thickTop="1" thickBot="1">
      <c r="AN76" s="200" t="s">
        <v>300</v>
      </c>
      <c r="AO76" s="201">
        <f>AO75*100/118</f>
        <v>725423.72881355928</v>
      </c>
      <c r="AP76" s="201">
        <f t="shared" ref="AP76:AQ76" si="52">AP75*100/118</f>
        <v>22356920.338983051</v>
      </c>
      <c r="AQ76" s="201">
        <f t="shared" si="52"/>
        <v>0.3477966101638878</v>
      </c>
      <c r="AR76" s="201">
        <f>AR75*100/118</f>
        <v>1660398</v>
      </c>
    </row>
    <row r="77" spans="1:50" ht="15.75" thickTop="1">
      <c r="AR77" s="15"/>
    </row>
    <row r="78" spans="1:50">
      <c r="AN78" s="202" t="s">
        <v>301</v>
      </c>
      <c r="AO78" s="26">
        <f>SUM(AP75:AQ75)/118*100</f>
        <v>22356920.686779659</v>
      </c>
    </row>
    <row r="79" spans="1:50">
      <c r="AN79" s="202" t="s">
        <v>302</v>
      </c>
      <c r="AO79" s="26">
        <v>50000</v>
      </c>
      <c r="AQ79" s="15"/>
      <c r="AR79" s="15"/>
      <c r="AS79" s="15"/>
    </row>
    <row r="80" spans="1:50" ht="15.75" thickBot="1">
      <c r="AN80" s="203" t="s">
        <v>363</v>
      </c>
      <c r="AO80" s="199">
        <f>SUM(AO78:AO78)+AO79</f>
        <v>22406920.686779659</v>
      </c>
      <c r="AS80" s="15"/>
    </row>
    <row r="81" spans="40:44" ht="15.75" thickTop="1"/>
    <row r="82" spans="40:44" ht="30">
      <c r="AN82" s="67" t="s">
        <v>364</v>
      </c>
      <c r="AO82" s="27">
        <f>SUM(T5:U73)/118*100</f>
        <v>1664617.7966101696</v>
      </c>
      <c r="AQ82" s="120"/>
    </row>
    <row r="83" spans="40:44">
      <c r="AP83" s="16"/>
      <c r="AQ83" s="27"/>
      <c r="AR83" s="27"/>
    </row>
    <row r="84" spans="40:44">
      <c r="AQ84" s="27"/>
    </row>
    <row r="86" spans="40:44">
      <c r="AP86" s="27"/>
    </row>
    <row r="88" spans="40:44">
      <c r="AO88" s="120"/>
    </row>
  </sheetData>
  <autoFilter ref="A4:AN73" xr:uid="{00000000-0001-0000-0000-000000000000}"/>
  <mergeCells count="23">
    <mergeCell ref="K45:K46"/>
    <mergeCell ref="Q45:Q46"/>
    <mergeCell ref="Q11:Q14"/>
    <mergeCell ref="AP2:BA2"/>
    <mergeCell ref="BD3:BD4"/>
    <mergeCell ref="W3:Z3"/>
    <mergeCell ref="AA3:AD3"/>
    <mergeCell ref="AE3:AH3"/>
    <mergeCell ref="AI3:AL3"/>
    <mergeCell ref="S11:S14"/>
    <mergeCell ref="V11:V14"/>
    <mergeCell ref="R11:R14"/>
    <mergeCell ref="R45:R46"/>
    <mergeCell ref="AO3:AR3"/>
    <mergeCell ref="S45:S46"/>
    <mergeCell ref="V45:V46"/>
    <mergeCell ref="BV1:BY1"/>
    <mergeCell ref="BT3:BT4"/>
    <mergeCell ref="CB3:CB4"/>
    <mergeCell ref="CD3:CD4"/>
    <mergeCell ref="BW2:BY2"/>
    <mergeCell ref="BV3:BV4"/>
    <mergeCell ref="BW3:BW4"/>
  </mergeCells>
  <conditionalFormatting sqref="B50:B51">
    <cfRule type="duplicateValues" dxfId="35" priority="2"/>
  </conditionalFormatting>
  <conditionalFormatting sqref="B60">
    <cfRule type="duplicateValues" dxfId="34" priority="3"/>
  </conditionalFormatting>
  <conditionalFormatting sqref="B62 B52">
    <cfRule type="duplicateValues" dxfId="33" priority="4"/>
  </conditionalFormatting>
  <conditionalFormatting sqref="B63:B64">
    <cfRule type="duplicateValues" dxfId="32" priority="1"/>
  </conditionalFormatting>
  <conditionalFormatting sqref="B5:C32">
    <cfRule type="duplicateValues" dxfId="31" priority="14"/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898F6-CA2E-4362-B4ED-8FCF5C350CD1}">
  <sheetPr filterMode="1"/>
  <dimension ref="A1:BA32"/>
  <sheetViews>
    <sheetView topLeftCell="AC13" workbookViewId="0">
      <selection activeCell="AP33" sqref="AP33"/>
    </sheetView>
  </sheetViews>
  <sheetFormatPr defaultRowHeight="15"/>
  <cols>
    <col min="1" max="1" width="28.5703125" bestFit="1" customWidth="1"/>
    <col min="2" max="2" width="54.140625" bestFit="1" customWidth="1"/>
    <col min="3" max="3" width="8.5703125" bestFit="1" customWidth="1"/>
    <col min="4" max="4" width="7.140625" bestFit="1" customWidth="1"/>
    <col min="5" max="5" width="23.85546875" bestFit="1" customWidth="1"/>
    <col min="6" max="6" width="10.140625" bestFit="1" customWidth="1"/>
    <col min="7" max="7" width="8.140625" bestFit="1" customWidth="1"/>
    <col min="8" max="8" width="29.85546875" bestFit="1" customWidth="1"/>
    <col min="9" max="9" width="12.7109375" bestFit="1" customWidth="1"/>
    <col min="10" max="10" width="11.5703125" bestFit="1" customWidth="1"/>
    <col min="11" max="11" width="15.5703125" bestFit="1" customWidth="1"/>
    <col min="12" max="12" width="8.28515625" bestFit="1" customWidth="1"/>
    <col min="14" max="15" width="9.140625" bestFit="1" customWidth="1"/>
    <col min="16" max="17" width="9" bestFit="1" customWidth="1"/>
    <col min="18" max="18" width="7.5703125" bestFit="1" customWidth="1"/>
    <col min="19" max="20" width="9" bestFit="1" customWidth="1"/>
    <col min="21" max="21" width="7.140625" bestFit="1" customWidth="1"/>
    <col min="22" max="22" width="8.140625" bestFit="1" customWidth="1"/>
    <col min="23" max="23" width="5.28515625" bestFit="1" customWidth="1"/>
    <col min="24" max="24" width="9.140625" bestFit="1" customWidth="1"/>
    <col min="25" max="25" width="6.5703125" bestFit="1" customWidth="1"/>
    <col min="26" max="26" width="8.28515625" bestFit="1" customWidth="1"/>
    <col min="27" max="27" width="27" bestFit="1" customWidth="1"/>
    <col min="28" max="28" width="12.7109375" bestFit="1" customWidth="1"/>
    <col min="29" max="29" width="8.28515625" bestFit="1" customWidth="1"/>
    <col min="30" max="30" width="28.140625" bestFit="1" customWidth="1"/>
    <col min="31" max="31" width="4.28515625" bestFit="1" customWidth="1"/>
    <col min="32" max="32" width="9.140625" bestFit="1" customWidth="1"/>
    <col min="33" max="33" width="6.5703125" bestFit="1" customWidth="1"/>
    <col min="34" max="34" width="8.28515625" bestFit="1" customWidth="1"/>
    <col min="35" max="35" width="4.28515625" bestFit="1" customWidth="1"/>
    <col min="36" max="36" width="7.5703125" bestFit="1" customWidth="1"/>
    <col min="37" max="37" width="6.5703125" bestFit="1" customWidth="1"/>
    <col min="38" max="38" width="8.28515625" bestFit="1" customWidth="1"/>
    <col min="40" max="40" width="15.140625" bestFit="1" customWidth="1"/>
    <col min="41" max="41" width="9.140625" bestFit="1" customWidth="1"/>
    <col min="42" max="42" width="11.7109375" bestFit="1" customWidth="1"/>
    <col min="43" max="43" width="8.28515625" bestFit="1" customWidth="1"/>
    <col min="44" max="44" width="10.140625" bestFit="1" customWidth="1"/>
  </cols>
  <sheetData>
    <row r="1" spans="1:53">
      <c r="A1" s="2" t="s">
        <v>0</v>
      </c>
      <c r="B1" s="1"/>
      <c r="C1" s="1"/>
      <c r="D1" s="21"/>
      <c r="E1" s="21"/>
      <c r="F1" s="6"/>
      <c r="G1" s="6"/>
      <c r="H1" s="2"/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5"/>
      <c r="Y1" s="15"/>
      <c r="Z1" s="15"/>
      <c r="AA1" s="136"/>
      <c r="AB1" s="1" t="s">
        <v>262</v>
      </c>
      <c r="AC1" s="138"/>
      <c r="AD1" s="1" t="s">
        <v>264</v>
      </c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>
      <c r="A2" s="2" t="s">
        <v>1</v>
      </c>
      <c r="B2" s="3"/>
      <c r="C2" s="3"/>
      <c r="D2" s="42"/>
      <c r="E2" s="42"/>
      <c r="F2" s="21"/>
      <c r="G2" s="21"/>
      <c r="H2" s="1"/>
      <c r="I2" s="1"/>
      <c r="J2" s="1"/>
      <c r="K2" s="1"/>
      <c r="L2" s="1"/>
      <c r="M2" s="1"/>
      <c r="N2" s="143">
        <v>91525.423728813563</v>
      </c>
      <c r="O2" s="1"/>
      <c r="P2" s="16"/>
      <c r="Q2" s="1"/>
      <c r="R2" s="1"/>
      <c r="S2" s="1"/>
      <c r="T2" s="1"/>
      <c r="U2" s="1"/>
      <c r="V2" s="1"/>
      <c r="W2" s="1"/>
      <c r="X2" s="1"/>
      <c r="Y2" s="1"/>
      <c r="Z2" s="1"/>
      <c r="AA2" s="137"/>
      <c r="AB2" s="1" t="s">
        <v>263</v>
      </c>
      <c r="AC2" s="145"/>
      <c r="AD2" s="1" t="s">
        <v>281</v>
      </c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269"/>
      <c r="AQ2" s="269"/>
      <c r="AR2" s="269"/>
      <c r="AS2" s="269"/>
      <c r="AT2" s="269"/>
      <c r="AU2" s="269"/>
      <c r="AV2" s="269"/>
      <c r="AW2" s="269"/>
      <c r="AX2" s="269"/>
      <c r="AY2" s="269"/>
      <c r="AZ2" s="269"/>
      <c r="BA2" s="269"/>
    </row>
    <row r="3" spans="1:53">
      <c r="A3" s="2"/>
      <c r="B3" s="3"/>
      <c r="C3" s="3"/>
      <c r="D3" s="42"/>
      <c r="E3" s="42"/>
      <c r="F3" s="21"/>
      <c r="G3" s="2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271" t="s">
        <v>3</v>
      </c>
      <c r="X3" s="272"/>
      <c r="Y3" s="272"/>
      <c r="Z3" s="273"/>
      <c r="AA3" s="274" t="s">
        <v>4</v>
      </c>
      <c r="AB3" s="274"/>
      <c r="AC3" s="274"/>
      <c r="AD3" s="275"/>
      <c r="AE3" s="276" t="s">
        <v>5</v>
      </c>
      <c r="AF3" s="277"/>
      <c r="AG3" s="277"/>
      <c r="AH3" s="278"/>
      <c r="AI3" s="279" t="s">
        <v>6</v>
      </c>
      <c r="AJ3" s="279"/>
      <c r="AK3" s="279"/>
      <c r="AL3" s="279"/>
      <c r="AM3" s="21"/>
      <c r="AN3" s="21"/>
      <c r="AO3" s="291" t="s">
        <v>295</v>
      </c>
      <c r="AP3" s="292"/>
      <c r="AQ3" s="292"/>
      <c r="AR3" s="293"/>
      <c r="AS3" s="112"/>
      <c r="AT3" s="112"/>
      <c r="AU3" s="112"/>
      <c r="AV3" s="112"/>
      <c r="AW3" s="112"/>
      <c r="AX3" s="112"/>
      <c r="AY3" s="112"/>
      <c r="AZ3" s="112"/>
      <c r="BA3" s="112"/>
    </row>
    <row r="4" spans="1:53" ht="105">
      <c r="A4" s="4" t="s">
        <v>29</v>
      </c>
      <c r="B4" s="4" t="s">
        <v>30</v>
      </c>
      <c r="C4" s="4" t="s">
        <v>289</v>
      </c>
      <c r="D4" s="4" t="s">
        <v>31</v>
      </c>
      <c r="E4" s="4" t="s">
        <v>32</v>
      </c>
      <c r="F4" s="4" t="s">
        <v>33</v>
      </c>
      <c r="G4" s="4" t="s">
        <v>34</v>
      </c>
      <c r="H4" s="4" t="s">
        <v>35</v>
      </c>
      <c r="I4" s="4" t="s">
        <v>36</v>
      </c>
      <c r="J4" s="4" t="s">
        <v>37</v>
      </c>
      <c r="K4" s="4" t="s">
        <v>38</v>
      </c>
      <c r="L4" s="4" t="s">
        <v>39</v>
      </c>
      <c r="M4" s="4"/>
      <c r="N4" s="4" t="s">
        <v>40</v>
      </c>
      <c r="O4" s="4" t="s">
        <v>41</v>
      </c>
      <c r="P4" s="4" t="s">
        <v>42</v>
      </c>
      <c r="Q4" s="4" t="s">
        <v>43</v>
      </c>
      <c r="R4" s="4" t="s">
        <v>282</v>
      </c>
      <c r="S4" s="146" t="s">
        <v>283</v>
      </c>
      <c r="T4" s="146" t="s">
        <v>305</v>
      </c>
      <c r="U4" s="146" t="s">
        <v>306</v>
      </c>
      <c r="V4" s="4" t="s">
        <v>284</v>
      </c>
      <c r="W4" s="7" t="s">
        <v>45</v>
      </c>
      <c r="X4" s="7" t="s">
        <v>46</v>
      </c>
      <c r="Y4" s="7" t="s">
        <v>47</v>
      </c>
      <c r="Z4" s="7" t="s">
        <v>265</v>
      </c>
      <c r="AA4" s="150" t="s">
        <v>45</v>
      </c>
      <c r="AB4" s="17" t="s">
        <v>46</v>
      </c>
      <c r="AC4" s="17" t="s">
        <v>47</v>
      </c>
      <c r="AD4" s="17" t="s">
        <v>267</v>
      </c>
      <c r="AE4" s="18" t="s">
        <v>45</v>
      </c>
      <c r="AF4" s="18" t="s">
        <v>46</v>
      </c>
      <c r="AG4" s="18" t="s">
        <v>47</v>
      </c>
      <c r="AH4" s="18" t="s">
        <v>267</v>
      </c>
      <c r="AI4" s="19" t="s">
        <v>45</v>
      </c>
      <c r="AJ4" s="19" t="s">
        <v>46</v>
      </c>
      <c r="AK4" s="19" t="s">
        <v>47</v>
      </c>
      <c r="AL4" s="19" t="s">
        <v>267</v>
      </c>
      <c r="AM4" s="1"/>
      <c r="AN4" s="1" t="s">
        <v>366</v>
      </c>
      <c r="AO4" s="198" t="s">
        <v>296</v>
      </c>
      <c r="AP4" s="198" t="s">
        <v>297</v>
      </c>
      <c r="AQ4" s="198" t="s">
        <v>298</v>
      </c>
      <c r="AR4" s="198" t="s">
        <v>299</v>
      </c>
      <c r="AS4" s="1"/>
      <c r="AT4" s="1"/>
      <c r="AU4" s="1"/>
      <c r="AV4" s="1"/>
      <c r="AW4" s="1"/>
      <c r="AX4" s="1"/>
      <c r="AY4" s="1"/>
      <c r="AZ4" s="1"/>
      <c r="BA4" s="1"/>
    </row>
    <row r="5" spans="1:53">
      <c r="A5" s="210">
        <v>1</v>
      </c>
      <c r="B5" s="5" t="s">
        <v>307</v>
      </c>
      <c r="C5" s="31" t="s">
        <v>308</v>
      </c>
      <c r="D5" s="31">
        <v>1</v>
      </c>
      <c r="E5" s="31" t="s">
        <v>164</v>
      </c>
      <c r="F5" s="211">
        <v>45765</v>
      </c>
      <c r="G5" s="31" t="s">
        <v>266</v>
      </c>
      <c r="H5" s="5" t="s">
        <v>55</v>
      </c>
      <c r="I5" s="5" t="s">
        <v>309</v>
      </c>
      <c r="J5" s="5" t="s">
        <v>310</v>
      </c>
      <c r="K5" s="5">
        <v>300</v>
      </c>
      <c r="L5" s="5">
        <v>150</v>
      </c>
      <c r="M5" s="5"/>
      <c r="N5" s="41">
        <v>1016.9491525423729</v>
      </c>
      <c r="O5" s="20">
        <v>1200</v>
      </c>
      <c r="P5" s="10">
        <v>180000</v>
      </c>
      <c r="Q5" s="10">
        <v>63000</v>
      </c>
      <c r="R5" s="13">
        <v>0</v>
      </c>
      <c r="S5" s="147">
        <v>63000</v>
      </c>
      <c r="T5" s="147">
        <v>54000</v>
      </c>
      <c r="U5" s="147"/>
      <c r="V5" s="154">
        <v>0.35</v>
      </c>
      <c r="W5" s="65">
        <v>0.35</v>
      </c>
      <c r="X5" s="49">
        <v>62999.999999999993</v>
      </c>
      <c r="Y5" s="49" t="s">
        <v>140</v>
      </c>
      <c r="Z5" s="49" t="s">
        <v>164</v>
      </c>
      <c r="AA5" s="191">
        <v>0.3</v>
      </c>
      <c r="AB5" s="189">
        <v>54000</v>
      </c>
      <c r="AC5" s="189" t="s">
        <v>256</v>
      </c>
      <c r="AD5" s="189" t="s">
        <v>266</v>
      </c>
      <c r="AE5" s="212">
        <v>0.35</v>
      </c>
      <c r="AF5" s="178">
        <v>62999.999999999993</v>
      </c>
      <c r="AG5" s="178" t="s">
        <v>285</v>
      </c>
      <c r="AH5" s="178" t="s">
        <v>266</v>
      </c>
      <c r="AI5" s="52"/>
      <c r="AJ5" s="10">
        <v>0</v>
      </c>
      <c r="AK5" s="213"/>
      <c r="AL5" s="52"/>
      <c r="AM5" s="214"/>
      <c r="AN5" s="1" t="s">
        <v>362</v>
      </c>
      <c r="AO5" s="44">
        <v>0</v>
      </c>
      <c r="AP5" s="44">
        <v>117000</v>
      </c>
      <c r="AQ5" s="44">
        <v>0</v>
      </c>
      <c r="AR5" s="44">
        <v>63000</v>
      </c>
      <c r="AS5" s="27"/>
      <c r="AT5" s="115"/>
      <c r="AU5" s="115"/>
      <c r="AV5" s="1"/>
      <c r="AW5" s="115"/>
      <c r="AX5" s="257"/>
      <c r="AY5" s="1"/>
      <c r="AZ5" s="1"/>
      <c r="BA5" s="1"/>
    </row>
    <row r="6" spans="1:53">
      <c r="A6" s="210">
        <v>2</v>
      </c>
      <c r="B6" s="256" t="s">
        <v>311</v>
      </c>
      <c r="C6" s="31" t="s">
        <v>308</v>
      </c>
      <c r="D6" s="31">
        <v>1</v>
      </c>
      <c r="E6" s="31" t="s">
        <v>164</v>
      </c>
      <c r="F6" s="215">
        <v>45759</v>
      </c>
      <c r="G6" s="215" t="s">
        <v>266</v>
      </c>
      <c r="H6" s="5" t="s">
        <v>55</v>
      </c>
      <c r="I6" s="82" t="s">
        <v>312</v>
      </c>
      <c r="J6" s="5" t="s">
        <v>310</v>
      </c>
      <c r="K6" s="5">
        <v>300</v>
      </c>
      <c r="L6" s="5">
        <v>373</v>
      </c>
      <c r="M6" s="5"/>
      <c r="N6" s="41">
        <v>677.96610169491521</v>
      </c>
      <c r="O6" s="41">
        <v>800</v>
      </c>
      <c r="P6" s="10">
        <v>298400</v>
      </c>
      <c r="Q6" s="10">
        <v>193960</v>
      </c>
      <c r="R6" s="13">
        <v>0</v>
      </c>
      <c r="S6" s="147">
        <v>104440</v>
      </c>
      <c r="T6" s="147"/>
      <c r="U6" s="147"/>
      <c r="V6" s="154">
        <v>0.65</v>
      </c>
      <c r="W6" s="65">
        <v>0.35</v>
      </c>
      <c r="X6" s="49">
        <v>104440</v>
      </c>
      <c r="Y6" s="216" t="s">
        <v>140</v>
      </c>
      <c r="Z6" s="216" t="s">
        <v>164</v>
      </c>
      <c r="AA6" s="217">
        <v>0.3</v>
      </c>
      <c r="AB6" s="49">
        <v>89520</v>
      </c>
      <c r="AC6" s="49" t="s">
        <v>256</v>
      </c>
      <c r="AD6" s="49" t="s">
        <v>164</v>
      </c>
      <c r="AE6" s="212">
        <v>0.35</v>
      </c>
      <c r="AF6" s="178">
        <v>104440</v>
      </c>
      <c r="AG6" s="178" t="s">
        <v>285</v>
      </c>
      <c r="AH6" s="178" t="s">
        <v>266</v>
      </c>
      <c r="AI6" s="52"/>
      <c r="AJ6" s="10">
        <v>0</v>
      </c>
      <c r="AK6" s="213"/>
      <c r="AL6" s="52"/>
      <c r="AM6" s="214"/>
      <c r="AN6" s="1" t="s">
        <v>362</v>
      </c>
      <c r="AO6" s="44">
        <v>0</v>
      </c>
      <c r="AP6" s="44">
        <v>193960</v>
      </c>
      <c r="AQ6" s="44">
        <v>0</v>
      </c>
      <c r="AR6" s="44">
        <v>104440</v>
      </c>
      <c r="AS6" s="27"/>
      <c r="AT6" s="15"/>
      <c r="AU6" s="1"/>
      <c r="AV6" s="1"/>
      <c r="AW6" s="115"/>
      <c r="AX6" s="257"/>
      <c r="AY6" s="1"/>
      <c r="AZ6" s="1"/>
      <c r="BA6" s="1"/>
    </row>
    <row r="7" spans="1:53">
      <c r="A7" s="210">
        <v>3</v>
      </c>
      <c r="B7" s="5" t="s">
        <v>313</v>
      </c>
      <c r="C7" s="31" t="s">
        <v>308</v>
      </c>
      <c r="D7" s="31">
        <v>1</v>
      </c>
      <c r="E7" s="31" t="s">
        <v>165</v>
      </c>
      <c r="F7" s="31" t="s">
        <v>165</v>
      </c>
      <c r="G7" s="215" t="s">
        <v>266</v>
      </c>
      <c r="H7" s="5" t="s">
        <v>55</v>
      </c>
      <c r="I7" s="5" t="s">
        <v>314</v>
      </c>
      <c r="J7" s="5" t="s">
        <v>310</v>
      </c>
      <c r="K7" s="5">
        <v>250</v>
      </c>
      <c r="L7" s="5">
        <v>218</v>
      </c>
      <c r="M7" s="5"/>
      <c r="N7" s="41">
        <v>1271.1864406779662</v>
      </c>
      <c r="O7" s="41">
        <v>1500</v>
      </c>
      <c r="P7" s="10">
        <v>327000</v>
      </c>
      <c r="Q7" s="10">
        <v>212550</v>
      </c>
      <c r="R7" s="13">
        <v>0</v>
      </c>
      <c r="S7" s="147">
        <v>0</v>
      </c>
      <c r="T7" s="147">
        <v>114450</v>
      </c>
      <c r="U7" s="147"/>
      <c r="V7" s="154">
        <v>1</v>
      </c>
      <c r="W7" s="65">
        <v>0.35</v>
      </c>
      <c r="X7" s="49">
        <v>114450</v>
      </c>
      <c r="Y7" s="216" t="s">
        <v>140</v>
      </c>
      <c r="Z7" s="216" t="s">
        <v>164</v>
      </c>
      <c r="AA7" s="218">
        <v>0.3</v>
      </c>
      <c r="AB7" s="189">
        <v>98100</v>
      </c>
      <c r="AC7" s="189" t="s">
        <v>256</v>
      </c>
      <c r="AD7" s="189" t="s">
        <v>266</v>
      </c>
      <c r="AE7" s="218">
        <v>0.35</v>
      </c>
      <c r="AF7" s="189">
        <v>114450</v>
      </c>
      <c r="AG7" s="189" t="s">
        <v>285</v>
      </c>
      <c r="AH7" s="189" t="s">
        <v>164</v>
      </c>
      <c r="AI7" s="53"/>
      <c r="AJ7" s="10">
        <v>0</v>
      </c>
      <c r="AK7" s="219"/>
      <c r="AL7" s="53"/>
      <c r="AM7" s="14"/>
      <c r="AN7" s="1" t="s">
        <v>362</v>
      </c>
      <c r="AO7" s="44">
        <v>0</v>
      </c>
      <c r="AP7" s="44">
        <v>327000</v>
      </c>
      <c r="AQ7" s="44">
        <v>0</v>
      </c>
      <c r="AR7" s="44">
        <v>0</v>
      </c>
      <c r="AS7" s="27"/>
      <c r="AT7" s="15"/>
      <c r="AU7" s="1"/>
      <c r="AV7" s="1"/>
      <c r="AW7" s="115"/>
      <c r="AX7" s="257"/>
      <c r="AY7" s="1"/>
      <c r="AZ7" s="1"/>
      <c r="BA7" s="1"/>
    </row>
    <row r="8" spans="1:53">
      <c r="A8" s="210">
        <v>4</v>
      </c>
      <c r="B8" s="5" t="s">
        <v>315</v>
      </c>
      <c r="C8" s="43" t="s">
        <v>308</v>
      </c>
      <c r="D8" s="31">
        <v>1</v>
      </c>
      <c r="E8" s="43" t="s">
        <v>316</v>
      </c>
      <c r="F8" s="215">
        <v>45803</v>
      </c>
      <c r="G8" s="31" t="s">
        <v>266</v>
      </c>
      <c r="H8" s="5" t="s">
        <v>55</v>
      </c>
      <c r="I8" s="5" t="s">
        <v>314</v>
      </c>
      <c r="J8" s="5" t="s">
        <v>310</v>
      </c>
      <c r="K8" s="5">
        <v>508</v>
      </c>
      <c r="L8" s="5">
        <v>427</v>
      </c>
      <c r="M8" s="5"/>
      <c r="N8" s="41">
        <v>593.22033898305085</v>
      </c>
      <c r="O8" s="41">
        <v>700</v>
      </c>
      <c r="P8" s="10">
        <v>298900</v>
      </c>
      <c r="Q8" s="10">
        <v>295354</v>
      </c>
      <c r="R8" s="13">
        <v>3546</v>
      </c>
      <c r="S8" s="147">
        <v>0</v>
      </c>
      <c r="T8" s="147"/>
      <c r="U8" s="147"/>
      <c r="V8" s="154">
        <v>1</v>
      </c>
      <c r="W8" s="217">
        <v>0.35</v>
      </c>
      <c r="X8" s="49">
        <v>104615</v>
      </c>
      <c r="Y8" s="216" t="s">
        <v>140</v>
      </c>
      <c r="Z8" s="216" t="s">
        <v>164</v>
      </c>
      <c r="AA8" s="217">
        <v>0.3</v>
      </c>
      <c r="AB8" s="49">
        <v>89670</v>
      </c>
      <c r="AC8" s="49" t="s">
        <v>256</v>
      </c>
      <c r="AD8" s="49" t="s">
        <v>266</v>
      </c>
      <c r="AE8" s="218">
        <v>0.35</v>
      </c>
      <c r="AF8" s="189">
        <v>104615</v>
      </c>
      <c r="AG8" s="189" t="s">
        <v>285</v>
      </c>
      <c r="AH8" s="189" t="s">
        <v>164</v>
      </c>
      <c r="AI8" s="5"/>
      <c r="AJ8" s="10">
        <v>0</v>
      </c>
      <c r="AK8" s="220"/>
      <c r="AL8" s="5"/>
      <c r="AM8" s="1"/>
      <c r="AN8" s="1" t="s">
        <v>362</v>
      </c>
      <c r="AO8" s="44">
        <v>0</v>
      </c>
      <c r="AP8" s="44">
        <v>298900</v>
      </c>
      <c r="AQ8" s="44">
        <v>0</v>
      </c>
      <c r="AR8" s="44">
        <v>0</v>
      </c>
      <c r="AS8" s="27"/>
      <c r="AT8" s="15"/>
      <c r="AU8" s="1"/>
      <c r="AV8" s="1"/>
      <c r="AW8" s="115"/>
      <c r="AX8" s="257"/>
      <c r="AY8" s="1"/>
      <c r="AZ8" s="1"/>
      <c r="BA8" s="1"/>
    </row>
    <row r="9" spans="1:53">
      <c r="A9" s="210">
        <v>5</v>
      </c>
      <c r="B9" s="5" t="s">
        <v>317</v>
      </c>
      <c r="C9" s="43" t="s">
        <v>308</v>
      </c>
      <c r="D9" s="31">
        <v>1</v>
      </c>
      <c r="E9" s="43" t="s">
        <v>316</v>
      </c>
      <c r="F9" s="215">
        <v>45817</v>
      </c>
      <c r="G9" s="31" t="s">
        <v>266</v>
      </c>
      <c r="H9" s="5" t="s">
        <v>55</v>
      </c>
      <c r="I9" s="5" t="s">
        <v>314</v>
      </c>
      <c r="J9" s="5" t="s">
        <v>310</v>
      </c>
      <c r="K9" s="5">
        <v>200</v>
      </c>
      <c r="L9" s="5">
        <v>255</v>
      </c>
      <c r="M9" s="5"/>
      <c r="N9" s="41">
        <v>593.22033898305085</v>
      </c>
      <c r="O9" s="41">
        <v>700</v>
      </c>
      <c r="P9" s="10">
        <v>178500</v>
      </c>
      <c r="Q9" s="10">
        <v>151750</v>
      </c>
      <c r="R9" s="13">
        <v>0</v>
      </c>
      <c r="S9" s="147">
        <v>0</v>
      </c>
      <c r="T9" s="147">
        <v>26750</v>
      </c>
      <c r="U9" s="147"/>
      <c r="V9" s="154">
        <v>0.85014005602240894</v>
      </c>
      <c r="W9" s="217">
        <v>0.35</v>
      </c>
      <c r="X9" s="49">
        <v>62474.999999999993</v>
      </c>
      <c r="Y9" s="216" t="s">
        <v>140</v>
      </c>
      <c r="Z9" s="216" t="s">
        <v>164</v>
      </c>
      <c r="AA9" s="218">
        <v>0.5</v>
      </c>
      <c r="AB9" s="189">
        <v>89250</v>
      </c>
      <c r="AC9" s="189" t="s">
        <v>256</v>
      </c>
      <c r="AD9" s="189" t="s">
        <v>164</v>
      </c>
      <c r="AE9" s="218">
        <v>0.15</v>
      </c>
      <c r="AF9" s="189">
        <v>26775</v>
      </c>
      <c r="AG9" s="189" t="s">
        <v>285</v>
      </c>
      <c r="AH9" s="189" t="s">
        <v>266</v>
      </c>
      <c r="AI9" s="5"/>
      <c r="AJ9" s="10">
        <v>0</v>
      </c>
      <c r="AK9" s="220"/>
      <c r="AL9" s="5"/>
      <c r="AM9" s="1"/>
      <c r="AN9" s="1" t="s">
        <v>362</v>
      </c>
      <c r="AO9" s="44">
        <v>0</v>
      </c>
      <c r="AP9" s="44">
        <v>178500</v>
      </c>
      <c r="AQ9" s="44">
        <v>0</v>
      </c>
      <c r="AR9" s="44">
        <v>0</v>
      </c>
      <c r="AS9" s="27"/>
      <c r="AT9" s="15"/>
      <c r="AU9" s="1"/>
      <c r="AV9" s="1"/>
      <c r="AW9" s="115"/>
      <c r="AX9" s="257"/>
      <c r="AY9" s="1"/>
      <c r="AZ9" s="1"/>
      <c r="BA9" s="1"/>
    </row>
    <row r="10" spans="1:53">
      <c r="A10" s="210">
        <v>6</v>
      </c>
      <c r="B10" s="5" t="s">
        <v>318</v>
      </c>
      <c r="C10" s="43" t="s">
        <v>308</v>
      </c>
      <c r="D10" s="31">
        <v>1</v>
      </c>
      <c r="E10" s="31" t="s">
        <v>319</v>
      </c>
      <c r="F10" s="31" t="s">
        <v>319</v>
      </c>
      <c r="G10" s="31" t="s">
        <v>202</v>
      </c>
      <c r="H10" s="5" t="s">
        <v>55</v>
      </c>
      <c r="I10" s="221" t="s">
        <v>314</v>
      </c>
      <c r="J10" s="221" t="s">
        <v>310</v>
      </c>
      <c r="K10" s="5">
        <v>0</v>
      </c>
      <c r="L10" s="172">
        <v>33</v>
      </c>
      <c r="M10" s="172"/>
      <c r="N10" s="222">
        <v>1016.9491525423729</v>
      </c>
      <c r="O10" s="222">
        <v>1200</v>
      </c>
      <c r="P10" s="52">
        <v>39600</v>
      </c>
      <c r="Q10" s="10">
        <v>16000</v>
      </c>
      <c r="R10" s="13">
        <v>0</v>
      </c>
      <c r="S10" s="147">
        <v>23600</v>
      </c>
      <c r="T10" s="147"/>
      <c r="U10" s="147"/>
      <c r="V10" s="154">
        <v>0.40404040404040403</v>
      </c>
      <c r="W10" s="217"/>
      <c r="X10" s="49">
        <v>16000</v>
      </c>
      <c r="Y10" s="216" t="s">
        <v>285</v>
      </c>
      <c r="Z10" s="216" t="s">
        <v>164</v>
      </c>
      <c r="AA10" s="212"/>
      <c r="AB10" s="178">
        <v>23600</v>
      </c>
      <c r="AC10" s="178"/>
      <c r="AD10" s="178"/>
      <c r="AE10" s="83">
        <v>0</v>
      </c>
      <c r="AF10" s="10">
        <v>0</v>
      </c>
      <c r="AG10" s="5"/>
      <c r="AH10" s="5"/>
      <c r="AI10" s="5"/>
      <c r="AJ10" s="10">
        <v>0</v>
      </c>
      <c r="AK10" s="220"/>
      <c r="AL10" s="5"/>
      <c r="AM10" s="1"/>
      <c r="AN10" s="1" t="s">
        <v>362</v>
      </c>
      <c r="AO10" s="44">
        <v>0</v>
      </c>
      <c r="AP10" s="44">
        <v>16000</v>
      </c>
      <c r="AQ10" s="44">
        <v>0</v>
      </c>
      <c r="AR10" s="44">
        <v>23600</v>
      </c>
      <c r="AS10" s="27"/>
      <c r="AT10" s="15"/>
      <c r="AU10" s="1"/>
      <c r="AV10" s="1"/>
      <c r="AW10" s="115"/>
      <c r="AX10" s="257"/>
      <c r="AY10" s="1"/>
      <c r="AZ10" s="1"/>
      <c r="BA10" s="1"/>
    </row>
    <row r="11" spans="1:53">
      <c r="A11" s="210">
        <v>7</v>
      </c>
      <c r="B11" s="5" t="s">
        <v>320</v>
      </c>
      <c r="C11" s="43" t="s">
        <v>308</v>
      </c>
      <c r="D11" s="31"/>
      <c r="E11" s="31"/>
      <c r="F11" s="31"/>
      <c r="G11" s="31" t="s">
        <v>202</v>
      </c>
      <c r="H11" s="5" t="s">
        <v>55</v>
      </c>
      <c r="I11" s="221" t="s">
        <v>314</v>
      </c>
      <c r="J11" s="221" t="s">
        <v>310</v>
      </c>
      <c r="K11" s="5"/>
      <c r="L11" s="172">
        <v>30</v>
      </c>
      <c r="M11" s="172"/>
      <c r="N11" s="222">
        <v>1016.9491525423729</v>
      </c>
      <c r="O11" s="222">
        <v>1200</v>
      </c>
      <c r="P11" s="52">
        <v>36000</v>
      </c>
      <c r="Q11" s="10">
        <v>19800</v>
      </c>
      <c r="R11" s="13">
        <v>0</v>
      </c>
      <c r="S11" s="147">
        <v>16200</v>
      </c>
      <c r="T11" s="147"/>
      <c r="U11" s="147"/>
      <c r="V11" s="154">
        <v>0.55000000000000004</v>
      </c>
      <c r="W11" s="217"/>
      <c r="X11" s="49">
        <v>19800</v>
      </c>
      <c r="Y11" s="216" t="s">
        <v>285</v>
      </c>
      <c r="Z11" s="216" t="s">
        <v>164</v>
      </c>
      <c r="AA11" s="212"/>
      <c r="AB11" s="178">
        <v>16200</v>
      </c>
      <c r="AC11" s="178"/>
      <c r="AD11" s="178"/>
      <c r="AE11" s="83"/>
      <c r="AF11" s="10"/>
      <c r="AG11" s="5"/>
      <c r="AH11" s="5"/>
      <c r="AI11" s="5"/>
      <c r="AJ11" s="10"/>
      <c r="AK11" s="220"/>
      <c r="AL11" s="5"/>
      <c r="AM11" s="1"/>
      <c r="AN11" s="1" t="s">
        <v>362</v>
      </c>
      <c r="AO11" s="44">
        <v>0</v>
      </c>
      <c r="AP11" s="44">
        <v>19800</v>
      </c>
      <c r="AQ11" s="44">
        <v>0</v>
      </c>
      <c r="AR11" s="44">
        <v>16200</v>
      </c>
      <c r="AS11" s="27"/>
      <c r="AT11" s="15"/>
      <c r="AU11" s="1"/>
      <c r="AV11" s="1"/>
      <c r="AW11" s="115"/>
      <c r="AX11" s="257"/>
      <c r="AY11" s="1"/>
      <c r="AZ11" s="1"/>
      <c r="BA11" s="1"/>
    </row>
    <row r="12" spans="1:53">
      <c r="A12" s="210">
        <v>8</v>
      </c>
      <c r="B12" s="223" t="s">
        <v>321</v>
      </c>
      <c r="C12" s="31"/>
      <c r="D12" s="31">
        <v>1</v>
      </c>
      <c r="E12" s="31" t="s">
        <v>322</v>
      </c>
      <c r="F12" s="31" t="s">
        <v>165</v>
      </c>
      <c r="G12" s="31" t="s">
        <v>164</v>
      </c>
      <c r="H12" s="5" t="s">
        <v>323</v>
      </c>
      <c r="I12" s="5" t="s">
        <v>324</v>
      </c>
      <c r="J12" s="5" t="s">
        <v>294</v>
      </c>
      <c r="K12" s="5">
        <v>154</v>
      </c>
      <c r="L12" s="8">
        <v>166</v>
      </c>
      <c r="M12" s="8"/>
      <c r="N12" s="41">
        <v>508.47457627118644</v>
      </c>
      <c r="O12" s="41">
        <v>600</v>
      </c>
      <c r="P12" s="10">
        <v>99600</v>
      </c>
      <c r="Q12" s="10">
        <v>99600</v>
      </c>
      <c r="R12" s="13">
        <v>0</v>
      </c>
      <c r="S12" s="147">
        <v>0</v>
      </c>
      <c r="T12" s="147"/>
      <c r="U12" s="147"/>
      <c r="V12" s="154">
        <v>1</v>
      </c>
      <c r="W12" s="65">
        <v>0.5</v>
      </c>
      <c r="X12" s="49">
        <v>49800</v>
      </c>
      <c r="Y12" s="49" t="s">
        <v>130</v>
      </c>
      <c r="Z12" s="49" t="s">
        <v>164</v>
      </c>
      <c r="AA12" s="191">
        <v>0.5</v>
      </c>
      <c r="AB12" s="189">
        <v>49800</v>
      </c>
      <c r="AC12" s="224" t="s">
        <v>270</v>
      </c>
      <c r="AD12" s="224" t="s">
        <v>164</v>
      </c>
      <c r="AE12" s="10"/>
      <c r="AF12" s="10">
        <v>0</v>
      </c>
      <c r="AG12" s="10"/>
      <c r="AH12" s="10"/>
      <c r="AI12" s="10"/>
      <c r="AJ12" s="10">
        <v>0</v>
      </c>
      <c r="AK12" s="72"/>
      <c r="AL12" s="10"/>
      <c r="AM12" s="24"/>
      <c r="AN12" s="1" t="s">
        <v>362</v>
      </c>
      <c r="AO12" s="44">
        <v>0</v>
      </c>
      <c r="AP12" s="44">
        <v>99600</v>
      </c>
      <c r="AQ12" s="44">
        <v>0</v>
      </c>
      <c r="AR12" s="44">
        <v>0</v>
      </c>
      <c r="AS12" s="27"/>
      <c r="AT12" s="15"/>
      <c r="AU12" s="1"/>
      <c r="AV12" s="1"/>
      <c r="AW12" s="115"/>
      <c r="AX12" s="257"/>
      <c r="AY12" s="1"/>
      <c r="AZ12" s="1"/>
      <c r="BA12" s="1"/>
    </row>
    <row r="13" spans="1:53">
      <c r="A13" s="210">
        <v>9</v>
      </c>
      <c r="B13" s="223" t="s">
        <v>325</v>
      </c>
      <c r="C13" s="31"/>
      <c r="D13" s="31">
        <v>1</v>
      </c>
      <c r="E13" s="31" t="s">
        <v>322</v>
      </c>
      <c r="F13" s="31" t="s">
        <v>165</v>
      </c>
      <c r="G13" s="31" t="s">
        <v>164</v>
      </c>
      <c r="H13" s="5" t="s">
        <v>323</v>
      </c>
      <c r="I13" s="5" t="s">
        <v>326</v>
      </c>
      <c r="J13" s="5" t="s">
        <v>294</v>
      </c>
      <c r="K13" s="5">
        <v>178</v>
      </c>
      <c r="L13" s="225">
        <v>178</v>
      </c>
      <c r="M13" s="225"/>
      <c r="N13" s="41">
        <v>508.47457627118644</v>
      </c>
      <c r="O13" s="41">
        <v>600</v>
      </c>
      <c r="P13" s="10">
        <v>106800</v>
      </c>
      <c r="Q13" s="10">
        <v>106800</v>
      </c>
      <c r="R13" s="13">
        <v>0</v>
      </c>
      <c r="S13" s="147">
        <v>0</v>
      </c>
      <c r="T13" s="147"/>
      <c r="U13" s="147"/>
      <c r="V13" s="154">
        <v>1</v>
      </c>
      <c r="W13" s="65">
        <v>0.5</v>
      </c>
      <c r="X13" s="49">
        <v>53400</v>
      </c>
      <c r="Y13" s="49" t="s">
        <v>130</v>
      </c>
      <c r="Z13" s="49" t="s">
        <v>164</v>
      </c>
      <c r="AA13" s="191">
        <v>0.5</v>
      </c>
      <c r="AB13" s="189">
        <v>53400</v>
      </c>
      <c r="AC13" s="189" t="s">
        <v>270</v>
      </c>
      <c r="AD13" s="224" t="s">
        <v>164</v>
      </c>
      <c r="AE13" s="10"/>
      <c r="AF13" s="10">
        <v>0</v>
      </c>
      <c r="AG13" s="10"/>
      <c r="AH13" s="10"/>
      <c r="AI13" s="10"/>
      <c r="AJ13" s="10">
        <v>0</v>
      </c>
      <c r="AK13" s="72"/>
      <c r="AL13" s="10"/>
      <c r="AM13" s="24"/>
      <c r="AN13" s="1" t="s">
        <v>362</v>
      </c>
      <c r="AO13" s="44">
        <v>0</v>
      </c>
      <c r="AP13" s="44">
        <v>106800</v>
      </c>
      <c r="AQ13" s="44">
        <v>0</v>
      </c>
      <c r="AR13" s="44">
        <v>0</v>
      </c>
      <c r="AS13" s="27"/>
      <c r="AT13" s="15"/>
      <c r="AU13" s="1"/>
      <c r="AV13" s="1"/>
      <c r="AW13" s="115"/>
      <c r="AX13" s="257"/>
      <c r="AY13" s="1"/>
      <c r="AZ13" s="1"/>
      <c r="BA13" s="1"/>
    </row>
    <row r="14" spans="1:53">
      <c r="A14" s="210">
        <v>10</v>
      </c>
      <c r="B14" s="5" t="s">
        <v>327</v>
      </c>
      <c r="C14" s="31"/>
      <c r="D14" s="31">
        <v>1</v>
      </c>
      <c r="E14" s="31" t="s">
        <v>328</v>
      </c>
      <c r="F14" s="31" t="s">
        <v>165</v>
      </c>
      <c r="G14" s="31" t="s">
        <v>164</v>
      </c>
      <c r="H14" s="5" t="s">
        <v>153</v>
      </c>
      <c r="I14" s="5" t="s">
        <v>329</v>
      </c>
      <c r="J14" s="5" t="s">
        <v>294</v>
      </c>
      <c r="K14" s="5">
        <v>277</v>
      </c>
      <c r="L14" s="5">
        <v>285</v>
      </c>
      <c r="M14" s="5"/>
      <c r="N14" s="41">
        <v>677.96610169491521</v>
      </c>
      <c r="O14" s="41">
        <v>800</v>
      </c>
      <c r="P14" s="10">
        <v>228000</v>
      </c>
      <c r="Q14" s="5">
        <v>208000</v>
      </c>
      <c r="R14" s="5">
        <v>20000</v>
      </c>
      <c r="S14" s="147">
        <v>0</v>
      </c>
      <c r="T14" s="147"/>
      <c r="U14" s="147"/>
      <c r="V14" s="154">
        <v>1</v>
      </c>
      <c r="W14" s="65"/>
      <c r="X14" s="49">
        <v>228000</v>
      </c>
      <c r="Y14" s="226" t="s">
        <v>140</v>
      </c>
      <c r="Z14" s="49" t="s">
        <v>164</v>
      </c>
      <c r="AA14" s="65">
        <v>0.35</v>
      </c>
      <c r="AB14" s="49">
        <v>28000</v>
      </c>
      <c r="AC14" s="226" t="s">
        <v>285</v>
      </c>
      <c r="AD14" s="49" t="s">
        <v>202</v>
      </c>
      <c r="AE14" s="5"/>
      <c r="AF14" s="10">
        <v>0</v>
      </c>
      <c r="AG14" s="5"/>
      <c r="AH14" s="5"/>
      <c r="AI14" s="5"/>
      <c r="AJ14" s="10">
        <v>0</v>
      </c>
      <c r="AK14" s="220"/>
      <c r="AL14" s="5"/>
      <c r="AM14" s="1"/>
      <c r="AN14" s="1" t="s">
        <v>362</v>
      </c>
      <c r="AO14" s="44">
        <v>0</v>
      </c>
      <c r="AP14" s="44">
        <v>228000</v>
      </c>
      <c r="AQ14" s="44">
        <v>0</v>
      </c>
      <c r="AR14" s="44">
        <v>0</v>
      </c>
      <c r="AS14" s="27"/>
      <c r="AT14" s="15"/>
      <c r="AU14" s="1"/>
      <c r="AV14" s="1"/>
      <c r="AW14" s="115"/>
      <c r="AX14" s="257"/>
      <c r="AY14" s="1"/>
      <c r="AZ14" s="1"/>
      <c r="BA14" s="1"/>
    </row>
    <row r="15" spans="1:53">
      <c r="A15" s="210">
        <v>11</v>
      </c>
      <c r="B15" s="5" t="s">
        <v>330</v>
      </c>
      <c r="C15" s="31"/>
      <c r="D15" s="31">
        <v>1</v>
      </c>
      <c r="E15" s="31" t="s">
        <v>331</v>
      </c>
      <c r="F15" s="31" t="s">
        <v>164</v>
      </c>
      <c r="G15" s="31" t="s">
        <v>266</v>
      </c>
      <c r="H15" s="5" t="s">
        <v>55</v>
      </c>
      <c r="I15" s="5" t="s">
        <v>332</v>
      </c>
      <c r="J15" s="5" t="s">
        <v>333</v>
      </c>
      <c r="K15" s="10">
        <v>200</v>
      </c>
      <c r="L15" s="10">
        <v>244</v>
      </c>
      <c r="M15" s="10"/>
      <c r="N15" s="41">
        <v>1694.9152542372881</v>
      </c>
      <c r="O15" s="41">
        <v>2000</v>
      </c>
      <c r="P15" s="10">
        <v>488000</v>
      </c>
      <c r="Q15" s="10">
        <v>300000</v>
      </c>
      <c r="R15" s="13">
        <v>0</v>
      </c>
      <c r="S15" s="147">
        <v>188000</v>
      </c>
      <c r="T15" s="147"/>
      <c r="U15" s="147"/>
      <c r="V15" s="154">
        <v>0.61475409836065575</v>
      </c>
      <c r="W15" s="65">
        <v>0.5</v>
      </c>
      <c r="X15" s="49">
        <v>244000</v>
      </c>
      <c r="Y15" s="127" t="s">
        <v>140</v>
      </c>
      <c r="Z15" s="49" t="s">
        <v>164</v>
      </c>
      <c r="AA15" s="167">
        <v>0.5</v>
      </c>
      <c r="AB15" s="178">
        <v>244000</v>
      </c>
      <c r="AC15" s="166" t="s">
        <v>270</v>
      </c>
      <c r="AD15" s="166" t="s">
        <v>268</v>
      </c>
      <c r="AE15" s="12"/>
      <c r="AF15" s="10">
        <v>0</v>
      </c>
      <c r="AG15" s="23"/>
      <c r="AH15" s="23"/>
      <c r="AI15" s="12"/>
      <c r="AJ15" s="10">
        <v>0</v>
      </c>
      <c r="AK15" s="227"/>
      <c r="AL15" s="23"/>
      <c r="AM15" s="51"/>
      <c r="AN15" s="1" t="s">
        <v>362</v>
      </c>
      <c r="AO15" s="44">
        <v>56000</v>
      </c>
      <c r="AP15" s="44">
        <v>244000</v>
      </c>
      <c r="AQ15" s="44">
        <v>0</v>
      </c>
      <c r="AR15" s="44">
        <v>188000</v>
      </c>
      <c r="AS15" s="27"/>
      <c r="AT15" s="15"/>
      <c r="AU15" s="1"/>
      <c r="AV15" s="1"/>
      <c r="AW15" s="115"/>
      <c r="AX15" s="257"/>
      <c r="AY15" s="1"/>
      <c r="AZ15" s="1"/>
      <c r="BA15" s="1"/>
    </row>
    <row r="16" spans="1:53">
      <c r="A16" s="210">
        <v>12</v>
      </c>
      <c r="B16" s="5" t="s">
        <v>334</v>
      </c>
      <c r="C16" s="31"/>
      <c r="D16" s="31">
        <v>1</v>
      </c>
      <c r="E16" s="31" t="s">
        <v>331</v>
      </c>
      <c r="F16" s="31" t="s">
        <v>164</v>
      </c>
      <c r="G16" s="31" t="s">
        <v>266</v>
      </c>
      <c r="H16" s="5" t="s">
        <v>55</v>
      </c>
      <c r="I16" s="5" t="s">
        <v>332</v>
      </c>
      <c r="J16" s="5" t="s">
        <v>333</v>
      </c>
      <c r="K16" s="10">
        <v>350</v>
      </c>
      <c r="L16" s="52">
        <v>280</v>
      </c>
      <c r="M16" s="52"/>
      <c r="N16" s="41">
        <v>593.22033898305085</v>
      </c>
      <c r="O16" s="41">
        <v>700</v>
      </c>
      <c r="P16" s="10">
        <v>196000</v>
      </c>
      <c r="Q16" s="10">
        <v>0</v>
      </c>
      <c r="R16" s="13">
        <v>0</v>
      </c>
      <c r="S16" s="147">
        <v>196000</v>
      </c>
      <c r="T16" s="147"/>
      <c r="U16" s="147"/>
      <c r="V16" s="154">
        <v>0</v>
      </c>
      <c r="W16" s="167">
        <v>0.25</v>
      </c>
      <c r="X16" s="178">
        <v>49000</v>
      </c>
      <c r="Y16" s="181" t="s">
        <v>285</v>
      </c>
      <c r="Z16" s="181" t="s">
        <v>266</v>
      </c>
      <c r="AA16" s="167">
        <v>0.25</v>
      </c>
      <c r="AB16" s="178">
        <v>49000</v>
      </c>
      <c r="AC16" s="188" t="s">
        <v>285</v>
      </c>
      <c r="AD16" s="165"/>
      <c r="AE16" s="167">
        <v>0.25</v>
      </c>
      <c r="AF16" s="178">
        <v>49000</v>
      </c>
      <c r="AG16" s="165"/>
      <c r="AH16" s="165" t="s">
        <v>266</v>
      </c>
      <c r="AI16" s="167">
        <v>0.25</v>
      </c>
      <c r="AJ16" s="178">
        <v>49000</v>
      </c>
      <c r="AK16" s="228"/>
      <c r="AL16" s="229" t="s">
        <v>266</v>
      </c>
      <c r="AM16" s="247"/>
      <c r="AN16" s="1" t="s">
        <v>362</v>
      </c>
      <c r="AO16" s="44">
        <v>0</v>
      </c>
      <c r="AP16" s="44">
        <v>0</v>
      </c>
      <c r="AQ16" s="44">
        <v>0</v>
      </c>
      <c r="AR16" s="44">
        <v>196000</v>
      </c>
      <c r="AS16" s="27"/>
      <c r="AT16" s="15"/>
      <c r="AU16" s="1"/>
      <c r="AV16" s="1"/>
      <c r="AW16" s="115"/>
      <c r="AX16" s="257"/>
      <c r="AY16" s="1"/>
      <c r="AZ16" s="1"/>
      <c r="BA16" s="1"/>
    </row>
    <row r="17" spans="1:53">
      <c r="A17" s="210">
        <v>13</v>
      </c>
      <c r="B17" s="5" t="s">
        <v>335</v>
      </c>
      <c r="C17" s="31"/>
      <c r="D17" s="31">
        <v>1</v>
      </c>
      <c r="E17" s="31" t="s">
        <v>165</v>
      </c>
      <c r="F17" s="31" t="s">
        <v>165</v>
      </c>
      <c r="G17" s="31" t="s">
        <v>266</v>
      </c>
      <c r="H17" s="5"/>
      <c r="I17" s="5" t="s">
        <v>336</v>
      </c>
      <c r="J17" s="5" t="s">
        <v>333</v>
      </c>
      <c r="K17" s="5">
        <v>250</v>
      </c>
      <c r="L17" s="172">
        <v>90</v>
      </c>
      <c r="M17" s="172"/>
      <c r="N17" s="41">
        <v>2118.6440677966102</v>
      </c>
      <c r="O17" s="41">
        <v>2500</v>
      </c>
      <c r="P17" s="10">
        <v>225000</v>
      </c>
      <c r="Q17" s="10">
        <v>0</v>
      </c>
      <c r="R17" s="13">
        <v>0</v>
      </c>
      <c r="S17" s="147">
        <v>225000</v>
      </c>
      <c r="T17" s="147"/>
      <c r="U17" s="147"/>
      <c r="V17" s="154">
        <v>0</v>
      </c>
      <c r="W17" s="167">
        <v>0.5</v>
      </c>
      <c r="X17" s="178">
        <v>112500</v>
      </c>
      <c r="Y17" s="181" t="s">
        <v>285</v>
      </c>
      <c r="Z17" s="181" t="s">
        <v>266</v>
      </c>
      <c r="AA17" s="167">
        <v>0.5</v>
      </c>
      <c r="AB17" s="178">
        <v>112500</v>
      </c>
      <c r="AC17" s="230"/>
      <c r="AD17" s="230"/>
      <c r="AE17" s="53"/>
      <c r="AF17" s="10">
        <v>0</v>
      </c>
      <c r="AG17" s="53"/>
      <c r="AH17" s="53"/>
      <c r="AI17" s="53"/>
      <c r="AJ17" s="10">
        <v>0</v>
      </c>
      <c r="AK17" s="219"/>
      <c r="AL17" s="53"/>
      <c r="AM17" s="14"/>
      <c r="AN17" s="1" t="s">
        <v>362</v>
      </c>
      <c r="AO17" s="44">
        <v>0</v>
      </c>
      <c r="AP17" s="44">
        <v>0</v>
      </c>
      <c r="AQ17" s="44">
        <v>0</v>
      </c>
      <c r="AR17" s="44">
        <v>225000</v>
      </c>
      <c r="AS17" s="27"/>
      <c r="AT17" s="15"/>
      <c r="AU17" s="1"/>
      <c r="AV17" s="1"/>
      <c r="AW17" s="115"/>
      <c r="AX17" s="257"/>
      <c r="AY17" s="1"/>
      <c r="AZ17" s="1"/>
      <c r="BA17" s="1"/>
    </row>
    <row r="18" spans="1:53">
      <c r="A18" s="210">
        <v>14</v>
      </c>
      <c r="B18" s="256" t="s">
        <v>337</v>
      </c>
      <c r="C18" s="31"/>
      <c r="D18" s="231">
        <v>1</v>
      </c>
      <c r="E18" s="31" t="s">
        <v>331</v>
      </c>
      <c r="F18" s="31" t="s">
        <v>164</v>
      </c>
      <c r="G18" s="31" t="s">
        <v>202</v>
      </c>
      <c r="H18" s="5" t="s">
        <v>55</v>
      </c>
      <c r="I18" s="5" t="s">
        <v>338</v>
      </c>
      <c r="J18" s="5" t="s">
        <v>333</v>
      </c>
      <c r="K18" s="5">
        <v>150</v>
      </c>
      <c r="L18" s="168">
        <v>65</v>
      </c>
      <c r="M18" s="168"/>
      <c r="N18" s="41">
        <v>847.45762711864404</v>
      </c>
      <c r="O18" s="41">
        <v>1000</v>
      </c>
      <c r="P18" s="10">
        <v>65000</v>
      </c>
      <c r="Q18" s="232">
        <v>40000</v>
      </c>
      <c r="R18" s="13">
        <v>0</v>
      </c>
      <c r="S18" s="147">
        <v>25000</v>
      </c>
      <c r="T18" s="147"/>
      <c r="U18" s="147"/>
      <c r="V18" s="154">
        <v>0.61538461538461542</v>
      </c>
      <c r="W18" s="65">
        <v>0.5</v>
      </c>
      <c r="X18" s="49">
        <v>40000</v>
      </c>
      <c r="Y18" s="134" t="s">
        <v>285</v>
      </c>
      <c r="Z18" s="134"/>
      <c r="AA18" s="167" t="s">
        <v>339</v>
      </c>
      <c r="AB18" s="178">
        <v>25000</v>
      </c>
      <c r="AC18" s="230"/>
      <c r="AD18" s="233"/>
      <c r="AE18" s="53"/>
      <c r="AF18" s="10">
        <v>0</v>
      </c>
      <c r="AG18" s="53"/>
      <c r="AH18" s="53"/>
      <c r="AI18" s="53"/>
      <c r="AJ18" s="10">
        <v>0</v>
      </c>
      <c r="AK18" s="219"/>
      <c r="AL18" s="53"/>
      <c r="AM18" s="14"/>
      <c r="AN18" s="1" t="s">
        <v>362</v>
      </c>
      <c r="AO18" s="44">
        <v>0</v>
      </c>
      <c r="AP18" s="44">
        <v>40000</v>
      </c>
      <c r="AQ18" s="44">
        <v>0</v>
      </c>
      <c r="AR18" s="44">
        <v>25000</v>
      </c>
      <c r="AS18" s="27"/>
      <c r="AT18" s="15"/>
      <c r="AU18" s="1"/>
      <c r="AV18" s="1"/>
      <c r="AW18" s="115"/>
      <c r="AX18" s="257"/>
      <c r="AY18" s="1"/>
      <c r="AZ18" s="1"/>
      <c r="BA18" s="1"/>
    </row>
    <row r="19" spans="1:53">
      <c r="A19" s="210"/>
      <c r="B19" s="256" t="s">
        <v>337</v>
      </c>
      <c r="C19" s="31"/>
      <c r="D19" s="231"/>
      <c r="E19" s="31"/>
      <c r="F19" s="31"/>
      <c r="G19" s="31"/>
      <c r="H19" s="5"/>
      <c r="I19" s="5" t="s">
        <v>338</v>
      </c>
      <c r="J19" s="5" t="s">
        <v>333</v>
      </c>
      <c r="K19" s="5" t="s">
        <v>340</v>
      </c>
      <c r="L19" s="168">
        <v>3</v>
      </c>
      <c r="M19" s="168"/>
      <c r="N19" s="41">
        <v>1694.9152542372881</v>
      </c>
      <c r="O19" s="41">
        <v>2000</v>
      </c>
      <c r="P19" s="10">
        <v>6000</v>
      </c>
      <c r="Q19" s="232">
        <v>6000</v>
      </c>
      <c r="R19" s="13">
        <v>0</v>
      </c>
      <c r="S19" s="147">
        <v>0</v>
      </c>
      <c r="T19" s="147"/>
      <c r="U19" s="147"/>
      <c r="V19" s="154">
        <v>1</v>
      </c>
      <c r="W19" s="65">
        <v>1</v>
      </c>
      <c r="X19" s="49">
        <v>6000</v>
      </c>
      <c r="Y19" s="134" t="s">
        <v>256</v>
      </c>
      <c r="Z19" s="134"/>
      <c r="AA19" s="167"/>
      <c r="AB19" s="178"/>
      <c r="AC19" s="230"/>
      <c r="AD19" s="233"/>
      <c r="AE19" s="53"/>
      <c r="AF19" s="10">
        <v>0</v>
      </c>
      <c r="AG19" s="53"/>
      <c r="AH19" s="53"/>
      <c r="AI19" s="53"/>
      <c r="AJ19" s="10">
        <v>0</v>
      </c>
      <c r="AK19" s="219"/>
      <c r="AL19" s="53"/>
      <c r="AM19" s="14"/>
      <c r="AN19" s="1" t="s">
        <v>362</v>
      </c>
      <c r="AO19" s="44">
        <v>0</v>
      </c>
      <c r="AP19" s="44">
        <v>6000</v>
      </c>
      <c r="AQ19" s="44">
        <v>0</v>
      </c>
      <c r="AR19" s="44">
        <v>0</v>
      </c>
      <c r="AS19" s="27"/>
      <c r="AT19" s="15"/>
      <c r="AU19" s="1"/>
      <c r="AV19" s="1"/>
      <c r="AW19" s="115"/>
      <c r="AX19" s="257"/>
      <c r="AY19" s="1"/>
      <c r="AZ19" s="1"/>
      <c r="BA19" s="1"/>
    </row>
    <row r="20" spans="1:53">
      <c r="A20" s="210">
        <v>15</v>
      </c>
      <c r="B20" s="5" t="s">
        <v>341</v>
      </c>
      <c r="C20" s="31"/>
      <c r="D20" s="31">
        <v>1</v>
      </c>
      <c r="E20" s="31" t="s">
        <v>165</v>
      </c>
      <c r="F20" s="31" t="s">
        <v>165</v>
      </c>
      <c r="G20" s="31" t="s">
        <v>202</v>
      </c>
      <c r="H20" s="5" t="s">
        <v>55</v>
      </c>
      <c r="I20" s="5" t="s">
        <v>332</v>
      </c>
      <c r="J20" s="5" t="s">
        <v>333</v>
      </c>
      <c r="K20" s="5">
        <v>450</v>
      </c>
      <c r="L20" s="172">
        <v>50</v>
      </c>
      <c r="M20" s="172"/>
      <c r="N20" s="41">
        <v>2118.6440677966102</v>
      </c>
      <c r="O20" s="41">
        <v>2500</v>
      </c>
      <c r="P20" s="10">
        <v>125000</v>
      </c>
      <c r="Q20" s="5">
        <v>40000</v>
      </c>
      <c r="R20" s="13">
        <v>0</v>
      </c>
      <c r="S20" s="147">
        <v>85000</v>
      </c>
      <c r="T20" s="147"/>
      <c r="U20" s="147"/>
      <c r="V20" s="154">
        <v>0.32</v>
      </c>
      <c r="W20" s="65">
        <v>0.5</v>
      </c>
      <c r="X20" s="49">
        <v>40000</v>
      </c>
      <c r="Y20" s="134" t="s">
        <v>285</v>
      </c>
      <c r="Z20" s="226"/>
      <c r="AA20" s="167" t="s">
        <v>339</v>
      </c>
      <c r="AB20" s="178">
        <v>85000</v>
      </c>
      <c r="AC20" s="188"/>
      <c r="AD20" s="188"/>
      <c r="AE20" s="5"/>
      <c r="AF20" s="10">
        <v>0</v>
      </c>
      <c r="AG20" s="5"/>
      <c r="AH20" s="5"/>
      <c r="AI20" s="5"/>
      <c r="AJ20" s="10">
        <v>0</v>
      </c>
      <c r="AK20" s="220"/>
      <c r="AL20" s="5"/>
      <c r="AM20" s="1"/>
      <c r="AN20" s="1" t="s">
        <v>362</v>
      </c>
      <c r="AO20" s="44">
        <v>0</v>
      </c>
      <c r="AP20" s="44">
        <v>40000</v>
      </c>
      <c r="AQ20" s="44">
        <v>0</v>
      </c>
      <c r="AR20" s="44">
        <v>85000</v>
      </c>
      <c r="AS20" s="27"/>
      <c r="AT20" s="15"/>
      <c r="AU20" s="1"/>
      <c r="AV20" s="1"/>
      <c r="AW20" s="115"/>
      <c r="AX20" s="257"/>
      <c r="AY20" s="1"/>
      <c r="AZ20" s="1"/>
      <c r="BA20" s="1"/>
    </row>
    <row r="21" spans="1:53">
      <c r="A21" s="210">
        <v>16</v>
      </c>
      <c r="B21" s="5" t="s">
        <v>342</v>
      </c>
      <c r="C21" s="31"/>
      <c r="D21" s="31"/>
      <c r="E21" s="31" t="s">
        <v>165</v>
      </c>
      <c r="F21" s="31" t="s">
        <v>165</v>
      </c>
      <c r="G21" s="31" t="s">
        <v>202</v>
      </c>
      <c r="H21" s="82" t="s">
        <v>153</v>
      </c>
      <c r="I21" s="5" t="s">
        <v>343</v>
      </c>
      <c r="J21" s="5" t="s">
        <v>294</v>
      </c>
      <c r="K21" s="5">
        <v>270</v>
      </c>
      <c r="L21" s="5">
        <v>232</v>
      </c>
      <c r="M21" s="5"/>
      <c r="N21" s="41">
        <v>847.45762711864404</v>
      </c>
      <c r="O21" s="5">
        <v>1000</v>
      </c>
      <c r="P21" s="10">
        <v>232000</v>
      </c>
      <c r="Q21" s="5">
        <v>232000</v>
      </c>
      <c r="R21" s="13">
        <v>0</v>
      </c>
      <c r="S21" s="147">
        <v>0</v>
      </c>
      <c r="T21" s="147"/>
      <c r="U21" s="147"/>
      <c r="V21" s="154">
        <v>1</v>
      </c>
      <c r="W21" s="134"/>
      <c r="X21" s="49">
        <v>65000</v>
      </c>
      <c r="Y21" s="134" t="s">
        <v>159</v>
      </c>
      <c r="Z21" s="134" t="s">
        <v>164</v>
      </c>
      <c r="AA21" s="205"/>
      <c r="AB21" s="189">
        <v>65000</v>
      </c>
      <c r="AC21" s="205" t="s">
        <v>232</v>
      </c>
      <c r="AD21" s="206" t="s">
        <v>164</v>
      </c>
      <c r="AE21" s="205"/>
      <c r="AF21" s="189">
        <v>102000</v>
      </c>
      <c r="AG21" s="205" t="s">
        <v>256</v>
      </c>
      <c r="AH21" s="205" t="s">
        <v>164</v>
      </c>
      <c r="AI21" s="53"/>
      <c r="AJ21" s="10">
        <v>0</v>
      </c>
      <c r="AK21" s="219"/>
      <c r="AL21" s="53"/>
      <c r="AM21" s="14"/>
      <c r="AN21" s="1" t="s">
        <v>362</v>
      </c>
      <c r="AO21" s="44">
        <v>0</v>
      </c>
      <c r="AP21" s="44">
        <v>232000</v>
      </c>
      <c r="AQ21" s="44">
        <v>0</v>
      </c>
      <c r="AR21" s="44">
        <v>0</v>
      </c>
      <c r="AS21" s="27"/>
      <c r="AT21" s="15"/>
      <c r="AU21" s="1"/>
      <c r="AV21" s="1"/>
      <c r="AW21" s="115"/>
      <c r="AX21" s="257"/>
      <c r="AY21" s="1"/>
      <c r="AZ21" s="1"/>
      <c r="BA21" s="1"/>
    </row>
    <row r="22" spans="1:53">
      <c r="A22" s="210">
        <v>17</v>
      </c>
      <c r="B22" s="223" t="s">
        <v>344</v>
      </c>
      <c r="C22" s="31"/>
      <c r="D22" s="31">
        <v>1</v>
      </c>
      <c r="E22" s="31" t="s">
        <v>202</v>
      </c>
      <c r="F22" s="234">
        <v>45852</v>
      </c>
      <c r="G22" s="31" t="s">
        <v>202</v>
      </c>
      <c r="H22" s="82" t="s">
        <v>345</v>
      </c>
      <c r="I22" s="5" t="s">
        <v>346</v>
      </c>
      <c r="J22" s="5" t="s">
        <v>294</v>
      </c>
      <c r="K22" s="5">
        <v>207</v>
      </c>
      <c r="L22" s="225">
        <v>207</v>
      </c>
      <c r="M22" s="225"/>
      <c r="N22" s="41">
        <v>1271.1864406779662</v>
      </c>
      <c r="O22" s="41">
        <v>1500</v>
      </c>
      <c r="P22" s="10">
        <v>310500</v>
      </c>
      <c r="Q22" s="235">
        <v>209613</v>
      </c>
      <c r="R22" s="5">
        <v>23262</v>
      </c>
      <c r="S22" s="147">
        <v>0</v>
      </c>
      <c r="T22" s="147">
        <v>69863</v>
      </c>
      <c r="U22" s="147">
        <v>7762</v>
      </c>
      <c r="V22" s="154">
        <v>1</v>
      </c>
      <c r="W22" s="236">
        <v>0.25</v>
      </c>
      <c r="X22" s="237">
        <v>77625</v>
      </c>
      <c r="Y22" s="216" t="s">
        <v>159</v>
      </c>
      <c r="Z22" s="216" t="s">
        <v>164</v>
      </c>
      <c r="AA22" s="236">
        <v>0.25</v>
      </c>
      <c r="AB22" s="226">
        <v>77625</v>
      </c>
      <c r="AC22" s="226" t="s">
        <v>270</v>
      </c>
      <c r="AD22" s="226" t="s">
        <v>164</v>
      </c>
      <c r="AE22" s="236">
        <v>0.25</v>
      </c>
      <c r="AF22" s="238">
        <v>77625</v>
      </c>
      <c r="AG22" s="239" t="s">
        <v>347</v>
      </c>
      <c r="AH22" s="49" t="s">
        <v>164</v>
      </c>
      <c r="AI22" s="251">
        <v>0.25</v>
      </c>
      <c r="AJ22" s="252">
        <v>77625</v>
      </c>
      <c r="AK22" s="253" t="s">
        <v>348</v>
      </c>
      <c r="AL22" s="239" t="s">
        <v>164</v>
      </c>
      <c r="AM22" s="246"/>
      <c r="AN22" s="1" t="s">
        <v>362</v>
      </c>
      <c r="AO22" s="44">
        <v>0</v>
      </c>
      <c r="AP22" s="44">
        <v>310500</v>
      </c>
      <c r="AQ22" s="44">
        <v>0</v>
      </c>
      <c r="AR22" s="44">
        <v>0</v>
      </c>
      <c r="AS22" s="27"/>
      <c r="AT22" s="15"/>
      <c r="AU22" s="1"/>
      <c r="AV22" s="1"/>
      <c r="AW22" s="115"/>
      <c r="AX22" s="257"/>
      <c r="AY22" s="1"/>
      <c r="AZ22" s="1"/>
      <c r="BA22" s="1"/>
    </row>
    <row r="23" spans="1:53">
      <c r="A23" s="210">
        <v>18</v>
      </c>
      <c r="B23" s="223" t="s">
        <v>349</v>
      </c>
      <c r="C23" s="31"/>
      <c r="D23" s="31">
        <v>1</v>
      </c>
      <c r="E23" s="31" t="s">
        <v>266</v>
      </c>
      <c r="F23" s="234" t="s">
        <v>350</v>
      </c>
      <c r="G23" s="31" t="s">
        <v>202</v>
      </c>
      <c r="H23" s="82" t="s">
        <v>153</v>
      </c>
      <c r="I23" s="5" t="s">
        <v>293</v>
      </c>
      <c r="J23" s="5" t="s">
        <v>294</v>
      </c>
      <c r="K23" s="5"/>
      <c r="L23" s="225">
        <v>48</v>
      </c>
      <c r="M23" s="225"/>
      <c r="N23" s="41">
        <v>2118.6440677966102</v>
      </c>
      <c r="O23" s="41">
        <v>2500</v>
      </c>
      <c r="P23" s="10">
        <v>120000</v>
      </c>
      <c r="Q23" s="40">
        <v>108000</v>
      </c>
      <c r="R23" s="13">
        <v>12000</v>
      </c>
      <c r="S23" s="147">
        <v>0</v>
      </c>
      <c r="T23" s="147"/>
      <c r="U23" s="147"/>
      <c r="V23" s="154">
        <v>1</v>
      </c>
      <c r="W23" s="236">
        <v>1</v>
      </c>
      <c r="X23" s="237">
        <v>120000</v>
      </c>
      <c r="Y23" s="216" t="s">
        <v>159</v>
      </c>
      <c r="Z23" s="216" t="s">
        <v>164</v>
      </c>
      <c r="AA23" s="240"/>
      <c r="AB23" s="5"/>
      <c r="AC23" s="5"/>
      <c r="AD23" s="5"/>
      <c r="AE23" s="240"/>
      <c r="AF23" s="240"/>
      <c r="AG23" s="40"/>
      <c r="AH23" s="10"/>
      <c r="AI23" s="40"/>
      <c r="AJ23" s="40"/>
      <c r="AK23" s="241"/>
      <c r="AL23" s="40"/>
      <c r="AN23" s="1" t="s">
        <v>362</v>
      </c>
      <c r="AO23" s="44">
        <v>0</v>
      </c>
      <c r="AP23" s="44">
        <v>120000</v>
      </c>
      <c r="AQ23" s="44">
        <v>0</v>
      </c>
      <c r="AR23" s="44">
        <v>0</v>
      </c>
      <c r="AS23" s="27"/>
      <c r="AT23" s="15"/>
      <c r="AU23" s="1"/>
      <c r="AV23" s="1"/>
      <c r="AW23" s="115"/>
      <c r="AX23" s="257"/>
      <c r="AY23" s="1"/>
      <c r="AZ23" s="1"/>
      <c r="BA23" s="1"/>
    </row>
    <row r="24" spans="1:53">
      <c r="A24" s="210">
        <v>19</v>
      </c>
      <c r="B24" s="5" t="s">
        <v>351</v>
      </c>
      <c r="C24" s="31"/>
      <c r="D24" s="31">
        <v>1</v>
      </c>
      <c r="E24" s="31" t="s">
        <v>266</v>
      </c>
      <c r="F24" s="234" t="s">
        <v>350</v>
      </c>
      <c r="G24" s="31" t="s">
        <v>164</v>
      </c>
      <c r="H24" s="82" t="s">
        <v>153</v>
      </c>
      <c r="I24" s="5" t="s">
        <v>352</v>
      </c>
      <c r="J24" s="5" t="s">
        <v>353</v>
      </c>
      <c r="K24" s="5" t="s">
        <v>354</v>
      </c>
      <c r="L24" s="5">
        <v>90</v>
      </c>
      <c r="M24" s="5"/>
      <c r="N24" s="9">
        <v>1525.4237288135594</v>
      </c>
      <c r="O24" s="5">
        <v>1800</v>
      </c>
      <c r="P24" s="5">
        <v>162000</v>
      </c>
      <c r="Q24" s="5">
        <v>162000</v>
      </c>
      <c r="R24" s="5"/>
      <c r="S24" s="5">
        <v>0</v>
      </c>
      <c r="T24" s="5"/>
      <c r="U24" s="5"/>
      <c r="V24" s="154">
        <v>1</v>
      </c>
      <c r="W24" s="217"/>
      <c r="X24" s="226">
        <v>162000</v>
      </c>
      <c r="Y24" s="216" t="s">
        <v>159</v>
      </c>
      <c r="Z24" s="216" t="s">
        <v>164</v>
      </c>
      <c r="AA24" s="218"/>
      <c r="AB24" s="206">
        <v>93600</v>
      </c>
      <c r="AC24" s="206" t="s">
        <v>355</v>
      </c>
      <c r="AD24" s="206" t="s">
        <v>202</v>
      </c>
      <c r="AE24" s="5"/>
      <c r="AF24" s="5"/>
      <c r="AG24" s="5"/>
      <c r="AH24" s="5"/>
      <c r="AI24" s="5"/>
      <c r="AJ24" s="5"/>
      <c r="AK24" s="220"/>
      <c r="AL24" s="5"/>
      <c r="AM24" s="1"/>
      <c r="AN24" s="1" t="s">
        <v>362</v>
      </c>
      <c r="AO24" s="44">
        <v>0</v>
      </c>
      <c r="AP24" s="44">
        <v>162000</v>
      </c>
      <c r="AQ24" s="44">
        <v>0</v>
      </c>
      <c r="AR24" s="44">
        <v>0</v>
      </c>
      <c r="AS24" s="27"/>
      <c r="AT24" s="15"/>
      <c r="AU24" s="1"/>
      <c r="AV24" s="1"/>
      <c r="AW24" s="115"/>
      <c r="AX24" s="257"/>
      <c r="AY24" s="1"/>
      <c r="AZ24" s="1"/>
      <c r="BA24" s="1"/>
    </row>
    <row r="25" spans="1:53">
      <c r="A25" s="210">
        <v>20</v>
      </c>
      <c r="B25" s="5" t="s">
        <v>356</v>
      </c>
      <c r="C25" s="31"/>
      <c r="D25" s="31">
        <v>1</v>
      </c>
      <c r="E25" s="31" t="s">
        <v>266</v>
      </c>
      <c r="F25" s="234" t="s">
        <v>350</v>
      </c>
      <c r="G25" s="31" t="s">
        <v>164</v>
      </c>
      <c r="H25" s="82" t="s">
        <v>153</v>
      </c>
      <c r="I25" s="5" t="s">
        <v>352</v>
      </c>
      <c r="J25" s="5" t="s">
        <v>353</v>
      </c>
      <c r="K25" s="5" t="s">
        <v>354</v>
      </c>
      <c r="L25" s="5">
        <v>48</v>
      </c>
      <c r="M25" s="5"/>
      <c r="N25" s="9">
        <v>1525.4237288135594</v>
      </c>
      <c r="O25" s="5">
        <v>1800</v>
      </c>
      <c r="P25" s="5">
        <v>86400</v>
      </c>
      <c r="Q25" s="5">
        <v>86400</v>
      </c>
      <c r="R25" s="13">
        <v>0</v>
      </c>
      <c r="S25" s="147">
        <v>0</v>
      </c>
      <c r="T25" s="147"/>
      <c r="U25" s="147"/>
      <c r="V25" s="154">
        <v>1</v>
      </c>
      <c r="W25" s="217"/>
      <c r="X25" s="226">
        <v>86400</v>
      </c>
      <c r="Y25" s="216" t="s">
        <v>159</v>
      </c>
      <c r="Z25" s="216" t="s">
        <v>164</v>
      </c>
      <c r="AA25" s="218"/>
      <c r="AB25" s="206">
        <v>49500</v>
      </c>
      <c r="AC25" s="206" t="s">
        <v>355</v>
      </c>
      <c r="AD25" s="206" t="s">
        <v>202</v>
      </c>
      <c r="AE25" s="5"/>
      <c r="AF25" s="5"/>
      <c r="AG25" s="5"/>
      <c r="AH25" s="5"/>
      <c r="AI25" s="5"/>
      <c r="AJ25" s="5"/>
      <c r="AK25" s="220"/>
      <c r="AL25" s="5"/>
      <c r="AM25" s="1"/>
      <c r="AN25" s="1" t="s">
        <v>362</v>
      </c>
      <c r="AO25" s="44">
        <v>0</v>
      </c>
      <c r="AP25" s="44">
        <v>86400</v>
      </c>
      <c r="AQ25" s="44">
        <v>0</v>
      </c>
      <c r="AR25" s="44">
        <v>0</v>
      </c>
      <c r="AS25" s="27"/>
      <c r="AT25" s="15"/>
      <c r="AU25" s="1"/>
      <c r="AV25" s="1"/>
      <c r="AW25" s="115"/>
      <c r="AX25" s="257"/>
      <c r="AY25" s="1"/>
      <c r="AZ25" s="1"/>
      <c r="BA25" s="1"/>
    </row>
    <row r="26" spans="1:53">
      <c r="A26" s="210">
        <v>21</v>
      </c>
      <c r="B26" s="255" t="s">
        <v>357</v>
      </c>
      <c r="C26" s="31"/>
      <c r="D26" s="31">
        <v>1</v>
      </c>
      <c r="E26" s="31"/>
      <c r="F26" s="234"/>
      <c r="G26" s="31" t="s">
        <v>202</v>
      </c>
      <c r="H26" s="82"/>
      <c r="I26" s="5"/>
      <c r="J26" s="5"/>
      <c r="K26" s="5">
        <v>36</v>
      </c>
      <c r="L26" s="5">
        <v>38</v>
      </c>
      <c r="M26" s="5"/>
      <c r="N26" s="9">
        <v>1016.9491525423729</v>
      </c>
      <c r="O26" s="5">
        <v>1200</v>
      </c>
      <c r="P26" s="5">
        <v>45600</v>
      </c>
      <c r="Q26" s="5">
        <v>21600</v>
      </c>
      <c r="R26" s="13">
        <v>0</v>
      </c>
      <c r="S26" s="147">
        <v>24000</v>
      </c>
      <c r="T26" s="147"/>
      <c r="U26" s="147"/>
      <c r="V26" s="154">
        <v>0.47368421052631576</v>
      </c>
      <c r="W26" s="217"/>
      <c r="X26" s="226">
        <v>21600</v>
      </c>
      <c r="Y26" s="216" t="s">
        <v>285</v>
      </c>
      <c r="Z26" s="216" t="s">
        <v>164</v>
      </c>
      <c r="AA26" s="212"/>
      <c r="AB26" s="188">
        <v>24000</v>
      </c>
      <c r="AC26" s="188"/>
      <c r="AD26" s="188" t="s">
        <v>266</v>
      </c>
      <c r="AE26" s="5"/>
      <c r="AF26" s="5"/>
      <c r="AG26" s="5"/>
      <c r="AH26" s="5"/>
      <c r="AI26" s="5"/>
      <c r="AJ26" s="5"/>
      <c r="AK26" s="220"/>
      <c r="AL26" s="5"/>
      <c r="AM26" s="1"/>
      <c r="AN26" s="1" t="s">
        <v>362</v>
      </c>
      <c r="AO26" s="44">
        <v>0</v>
      </c>
      <c r="AP26" s="44">
        <v>21600</v>
      </c>
      <c r="AQ26" s="44">
        <v>0</v>
      </c>
      <c r="AR26" s="44">
        <v>24000</v>
      </c>
      <c r="AS26" s="27"/>
      <c r="AT26" s="15"/>
      <c r="AU26" s="1"/>
      <c r="AV26" s="1"/>
      <c r="AW26" s="115"/>
      <c r="AX26" s="257"/>
      <c r="AY26" s="1"/>
      <c r="AZ26" s="1"/>
      <c r="BA26" s="1"/>
    </row>
    <row r="27" spans="1:53">
      <c r="A27" s="210">
        <v>22</v>
      </c>
      <c r="B27" s="255" t="s">
        <v>358</v>
      </c>
      <c r="C27" s="31" t="s">
        <v>308</v>
      </c>
      <c r="D27" s="31"/>
      <c r="E27" s="31"/>
      <c r="F27" s="234"/>
      <c r="G27" s="31"/>
      <c r="H27" s="82"/>
      <c r="I27" s="5"/>
      <c r="J27" s="5"/>
      <c r="K27" s="5"/>
      <c r="L27" s="9">
        <v>25</v>
      </c>
      <c r="M27" s="9"/>
      <c r="N27" s="41">
        <v>2288.1355932203392</v>
      </c>
      <c r="O27" s="5">
        <v>2700</v>
      </c>
      <c r="P27" s="5">
        <v>67500</v>
      </c>
      <c r="Q27" s="5">
        <v>67500</v>
      </c>
      <c r="R27" s="13">
        <v>0</v>
      </c>
      <c r="S27" s="147">
        <v>0</v>
      </c>
      <c r="T27" s="147"/>
      <c r="U27" s="147"/>
      <c r="V27" s="154">
        <v>1</v>
      </c>
      <c r="W27" s="217"/>
      <c r="X27" s="226">
        <v>67500</v>
      </c>
      <c r="Y27" s="216" t="s">
        <v>285</v>
      </c>
      <c r="Z27" s="216" t="s">
        <v>164</v>
      </c>
      <c r="AA27" s="218"/>
      <c r="AB27" s="206">
        <v>0</v>
      </c>
      <c r="AC27" s="206"/>
      <c r="AD27" s="206" t="s">
        <v>202</v>
      </c>
      <c r="AE27" s="5"/>
      <c r="AF27" s="5"/>
      <c r="AG27" s="5"/>
      <c r="AH27" s="5"/>
      <c r="AI27" s="5"/>
      <c r="AJ27" s="5"/>
      <c r="AK27" s="220"/>
      <c r="AL27" s="5"/>
      <c r="AM27" s="1"/>
      <c r="AN27" s="1" t="s">
        <v>362</v>
      </c>
      <c r="AO27" s="44">
        <v>0</v>
      </c>
      <c r="AP27" s="44">
        <v>67500</v>
      </c>
      <c r="AQ27" s="44">
        <v>0</v>
      </c>
      <c r="AR27" s="44">
        <v>0</v>
      </c>
      <c r="AS27" s="27"/>
      <c r="AT27" s="15"/>
      <c r="AU27" s="1"/>
      <c r="AV27" s="1"/>
      <c r="AW27" s="115"/>
      <c r="AX27" s="257"/>
      <c r="AY27" s="1"/>
      <c r="AZ27" s="1"/>
      <c r="BA27" s="1"/>
    </row>
    <row r="28" spans="1:53">
      <c r="A28" s="210">
        <v>23</v>
      </c>
      <c r="B28" s="5" t="s">
        <v>201</v>
      </c>
      <c r="C28" s="31"/>
      <c r="D28" s="31">
        <v>1</v>
      </c>
      <c r="E28" s="31" t="s">
        <v>165</v>
      </c>
      <c r="F28" s="31" t="s">
        <v>165</v>
      </c>
      <c r="G28" s="31" t="s">
        <v>202</v>
      </c>
      <c r="H28" s="29"/>
      <c r="I28" s="5" t="s">
        <v>359</v>
      </c>
      <c r="J28" s="5" t="s">
        <v>360</v>
      </c>
      <c r="K28" s="5">
        <v>162</v>
      </c>
      <c r="L28" s="5">
        <v>83</v>
      </c>
      <c r="M28" s="5"/>
      <c r="N28" s="5">
        <v>1016.95</v>
      </c>
      <c r="O28" s="5">
        <v>1200</v>
      </c>
      <c r="P28" s="10">
        <v>99600</v>
      </c>
      <c r="Q28" s="44">
        <v>98000</v>
      </c>
      <c r="R28" s="10">
        <v>1600</v>
      </c>
      <c r="S28" s="161">
        <v>0</v>
      </c>
      <c r="T28" s="161"/>
      <c r="U28" s="161"/>
      <c r="V28" s="154">
        <v>1</v>
      </c>
      <c r="W28" s="65">
        <v>0.3</v>
      </c>
      <c r="X28" s="49">
        <v>98000</v>
      </c>
      <c r="Y28" s="130" t="s">
        <v>61</v>
      </c>
      <c r="Z28" s="130" t="s">
        <v>202</v>
      </c>
      <c r="AA28" s="242"/>
      <c r="AB28" s="189">
        <v>69600</v>
      </c>
      <c r="AC28" s="243">
        <v>45870</v>
      </c>
      <c r="AD28" s="243" t="s">
        <v>202</v>
      </c>
      <c r="AE28" s="83"/>
      <c r="AF28" s="10">
        <v>0</v>
      </c>
      <c r="AG28" s="244"/>
      <c r="AH28" s="244"/>
      <c r="AI28" s="83"/>
      <c r="AJ28" s="10"/>
      <c r="AK28" s="84"/>
      <c r="AL28" s="84"/>
      <c r="AM28" s="245"/>
      <c r="AN28" s="1" t="s">
        <v>362</v>
      </c>
      <c r="AO28" s="44">
        <v>0</v>
      </c>
      <c r="AP28" s="44">
        <v>99600</v>
      </c>
      <c r="AQ28" s="44">
        <v>0</v>
      </c>
      <c r="AR28" s="44">
        <v>0</v>
      </c>
      <c r="AS28" s="27"/>
      <c r="AT28" s="15"/>
      <c r="AU28" s="1"/>
      <c r="AV28" s="1"/>
      <c r="AW28" s="115"/>
      <c r="AX28" s="257"/>
      <c r="AY28" s="1"/>
      <c r="AZ28" s="1"/>
      <c r="BA28" s="1"/>
    </row>
    <row r="29" spans="1:53">
      <c r="A29" s="1"/>
      <c r="B29" s="1"/>
      <c r="C29" s="1"/>
      <c r="D29" s="21"/>
      <c r="E29" s="21"/>
      <c r="F29" s="21"/>
      <c r="G29" s="2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ht="15.75" thickBot="1">
      <c r="A30" s="1"/>
      <c r="B30" s="1"/>
      <c r="C30" s="1"/>
      <c r="D30" s="21"/>
      <c r="E30" s="21"/>
      <c r="F30" s="21"/>
      <c r="G30" s="2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200" t="s">
        <v>365</v>
      </c>
      <c r="AO30" s="201">
        <f>SUBTOTAL(9,AO5:AO29)</f>
        <v>56000</v>
      </c>
      <c r="AP30" s="201">
        <f>SUBTOTAL(9,AP5:AP29)</f>
        <v>3015160</v>
      </c>
      <c r="AQ30" s="201">
        <v>0.41039999999338761</v>
      </c>
      <c r="AR30" s="201">
        <f>SUBTOTAL(9,AR5:AR29)</f>
        <v>950240</v>
      </c>
      <c r="AS30" s="1"/>
      <c r="AT30" s="1"/>
      <c r="AU30" s="1"/>
      <c r="AV30" s="1"/>
      <c r="AW30" s="1"/>
      <c r="AX30" s="1"/>
      <c r="AY30" s="1"/>
      <c r="AZ30" s="1"/>
      <c r="BA30" s="1"/>
    </row>
    <row r="31" spans="1:53" ht="16.5" thickTop="1" thickBot="1">
      <c r="A31" s="1"/>
      <c r="B31" s="1"/>
      <c r="C31" s="1"/>
      <c r="D31" s="21"/>
      <c r="E31" s="21"/>
      <c r="F31" s="21"/>
      <c r="G31" s="2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200" t="s">
        <v>300</v>
      </c>
      <c r="AO31" s="201">
        <f>AO30*100/118</f>
        <v>47457.627118644064</v>
      </c>
      <c r="AP31" s="201">
        <f t="shared" ref="AP31:AR31" si="0">AP30*100/118</f>
        <v>2555220.338983051</v>
      </c>
      <c r="AQ31" s="201">
        <f t="shared" si="0"/>
        <v>0.3477966101638878</v>
      </c>
      <c r="AR31" s="201">
        <f t="shared" si="0"/>
        <v>805288.13559322036</v>
      </c>
      <c r="AS31" s="1"/>
      <c r="AT31" s="1"/>
      <c r="AU31" s="1"/>
      <c r="AV31" s="1"/>
      <c r="AW31" s="1"/>
      <c r="AX31" s="1"/>
      <c r="AY31" s="1"/>
      <c r="AZ31" s="1"/>
      <c r="BA31" s="1"/>
    </row>
    <row r="32" spans="1:53" ht="15.75" thickTop="1"/>
  </sheetData>
  <autoFilter ref="A4:AR28" xr:uid="{2FD898F6-CA2E-4362-B4ED-8FCF5C350CD1}">
    <filterColumn colId="21">
      <filters>
        <filter val="0%"/>
        <filter val="32%"/>
        <filter val="35%"/>
        <filter val="40%"/>
        <filter val="47%"/>
        <filter val="55%"/>
        <filter val="61%"/>
        <filter val="62%"/>
        <filter val="65%"/>
        <filter val="85%"/>
      </filters>
    </filterColumn>
  </autoFilter>
  <mergeCells count="6">
    <mergeCell ref="AP2:BA2"/>
    <mergeCell ref="W3:Z3"/>
    <mergeCell ref="AA3:AD3"/>
    <mergeCell ref="AE3:AH3"/>
    <mergeCell ref="AI3:AL3"/>
    <mergeCell ref="AO3:AR3"/>
  </mergeCells>
  <conditionalFormatting sqref="B5:B6">
    <cfRule type="duplicateValues" dxfId="30" priority="2"/>
  </conditionalFormatting>
  <conditionalFormatting sqref="B15">
    <cfRule type="duplicateValues" dxfId="29" priority="3"/>
  </conditionalFormatting>
  <conditionalFormatting sqref="B17 B7">
    <cfRule type="duplicateValues" dxfId="28" priority="4"/>
  </conditionalFormatting>
  <conditionalFormatting sqref="B18:B19">
    <cfRule type="duplicateValues" dxfId="27" priority="1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B5386-B888-4EDE-B192-2BA73E80BBBF}">
  <sheetPr codeName="Sheet2"/>
  <dimension ref="A1:U52"/>
  <sheetViews>
    <sheetView workbookViewId="0">
      <pane xSplit="2" ySplit="4" topLeftCell="C45" activePane="bottomRight" state="frozen"/>
      <selection pane="topRight" activeCell="C1" sqref="C1"/>
      <selection pane="bottomLeft" activeCell="A5" sqref="A5"/>
      <selection pane="bottomRight" activeCell="A52" sqref="A52"/>
    </sheetView>
  </sheetViews>
  <sheetFormatPr defaultColWidth="8.7109375" defaultRowHeight="15"/>
  <cols>
    <col min="1" max="1" width="9.7109375" style="1" customWidth="1"/>
    <col min="2" max="2" width="42.140625" style="1" bestFit="1" customWidth="1"/>
    <col min="3" max="3" width="15.85546875" style="1" bestFit="1" customWidth="1"/>
    <col min="4" max="4" width="16.140625" style="1" bestFit="1" customWidth="1"/>
    <col min="5" max="6" width="17.85546875" style="1" bestFit="1" customWidth="1"/>
    <col min="7" max="7" width="17.42578125" style="1" bestFit="1" customWidth="1"/>
    <col min="8" max="8" width="13.28515625" style="1" bestFit="1" customWidth="1"/>
    <col min="9" max="9" width="24.7109375" style="1" bestFit="1" customWidth="1"/>
    <col min="10" max="10" width="12.140625" style="1" bestFit="1" customWidth="1"/>
    <col min="11" max="11" width="12.140625" style="1" customWidth="1"/>
    <col min="12" max="12" width="19.7109375" style="1" bestFit="1" customWidth="1"/>
    <col min="13" max="16384" width="8.7109375" style="1"/>
  </cols>
  <sheetData>
    <row r="1" spans="1:12">
      <c r="A1" s="2" t="s">
        <v>0</v>
      </c>
    </row>
    <row r="2" spans="1:12">
      <c r="A2" s="2" t="s">
        <v>1</v>
      </c>
      <c r="B2" s="3"/>
    </row>
    <row r="3" spans="1:12">
      <c r="A3" s="2"/>
      <c r="B3" s="3"/>
      <c r="I3" s="300" t="s">
        <v>122</v>
      </c>
      <c r="J3" s="300"/>
      <c r="K3" s="6"/>
      <c r="L3" s="6"/>
    </row>
    <row r="4" spans="1:12" ht="45">
      <c r="A4" s="4" t="s">
        <v>29</v>
      </c>
      <c r="B4" s="4" t="s">
        <v>30</v>
      </c>
      <c r="C4" s="4" t="s">
        <v>38</v>
      </c>
      <c r="D4" s="4" t="s">
        <v>39</v>
      </c>
      <c r="E4" s="4" t="s">
        <v>40</v>
      </c>
      <c r="F4" s="4" t="s">
        <v>41</v>
      </c>
      <c r="G4" s="4" t="s">
        <v>42</v>
      </c>
      <c r="H4" s="4" t="s">
        <v>47</v>
      </c>
      <c r="I4" s="4" t="s">
        <v>123</v>
      </c>
      <c r="J4" s="4" t="s">
        <v>46</v>
      </c>
      <c r="K4" s="4"/>
      <c r="L4" s="4" t="s">
        <v>124</v>
      </c>
    </row>
    <row r="5" spans="1:12">
      <c r="A5" s="4">
        <v>1</v>
      </c>
      <c r="B5" s="5" t="s">
        <v>64</v>
      </c>
      <c r="C5" s="5">
        <v>500</v>
      </c>
      <c r="D5" s="11">
        <f>45+46+47+46+49+49+50+47+44+43+46+47</f>
        <v>559</v>
      </c>
      <c r="E5" s="9">
        <v>2500</v>
      </c>
      <c r="F5" s="10">
        <f>E5*1.18</f>
        <v>2950</v>
      </c>
      <c r="G5" s="10">
        <f t="shared" ref="G5:G36" si="0">IFERROR(D5*F5,0)</f>
        <v>1649050</v>
      </c>
      <c r="H5" s="10" t="s">
        <v>125</v>
      </c>
      <c r="I5" s="10" t="s">
        <v>126</v>
      </c>
      <c r="J5" s="10">
        <f>G5*25%</f>
        <v>412262.5</v>
      </c>
      <c r="K5" s="10"/>
      <c r="L5" s="286">
        <f>G5-J5-J6-J7</f>
        <v>412262.5</v>
      </c>
    </row>
    <row r="6" spans="1:12">
      <c r="A6" s="4"/>
      <c r="B6" s="5" t="s">
        <v>64</v>
      </c>
      <c r="C6" s="5">
        <v>500</v>
      </c>
      <c r="D6" s="11">
        <f t="shared" ref="D6:D7" si="1">45+46+47+46+49+49+50+47+44+43+46+47</f>
        <v>559</v>
      </c>
      <c r="E6" s="9">
        <v>2500</v>
      </c>
      <c r="F6" s="10">
        <f t="shared" ref="F6:F7" si="2">E6*1.18</f>
        <v>2950</v>
      </c>
      <c r="G6" s="10">
        <f t="shared" ref="G6:G7" si="3">IFERROR(D6*F6,0)</f>
        <v>1649050</v>
      </c>
      <c r="H6" s="10" t="s">
        <v>277</v>
      </c>
      <c r="I6" s="10" t="s">
        <v>278</v>
      </c>
      <c r="J6" s="10">
        <f t="shared" ref="J6:J7" si="4">G6*25%</f>
        <v>412262.5</v>
      </c>
      <c r="K6" s="10"/>
      <c r="L6" s="287"/>
    </row>
    <row r="7" spans="1:12">
      <c r="A7" s="4"/>
      <c r="B7" s="5" t="s">
        <v>64</v>
      </c>
      <c r="C7" s="5">
        <v>500</v>
      </c>
      <c r="D7" s="11">
        <f t="shared" si="1"/>
        <v>559</v>
      </c>
      <c r="E7" s="9">
        <v>2500</v>
      </c>
      <c r="F7" s="10">
        <f t="shared" si="2"/>
        <v>2950</v>
      </c>
      <c r="G7" s="10">
        <f t="shared" si="3"/>
        <v>1649050</v>
      </c>
      <c r="H7" s="10" t="s">
        <v>277</v>
      </c>
      <c r="I7" s="10" t="s">
        <v>279</v>
      </c>
      <c r="J7" s="10">
        <f t="shared" si="4"/>
        <v>412262.5</v>
      </c>
      <c r="K7" s="10"/>
      <c r="L7" s="288"/>
    </row>
    <row r="8" spans="1:12">
      <c r="A8" s="4">
        <v>1</v>
      </c>
      <c r="B8" s="5" t="s">
        <v>72</v>
      </c>
      <c r="C8" s="5">
        <v>1000</v>
      </c>
      <c r="D8" s="11">
        <v>1048</v>
      </c>
      <c r="E8" s="9">
        <f>2200/118*100</f>
        <v>1864.406779661017</v>
      </c>
      <c r="F8" s="10">
        <f t="shared" ref="F8:F22" si="5">E8*1.18</f>
        <v>2200</v>
      </c>
      <c r="G8" s="10">
        <f t="shared" si="0"/>
        <v>2305600</v>
      </c>
      <c r="H8" s="10" t="s">
        <v>125</v>
      </c>
      <c r="I8" s="10" t="s">
        <v>127</v>
      </c>
      <c r="J8" s="10">
        <f>G8*100%</f>
        <v>2305600</v>
      </c>
      <c r="K8" s="10"/>
      <c r="L8" s="10">
        <f t="shared" ref="L8:L40" si="6">G8-J8</f>
        <v>0</v>
      </c>
    </row>
    <row r="9" spans="1:12">
      <c r="A9" s="4">
        <f t="shared" ref="A9:A31" si="7">A8+1</f>
        <v>2</v>
      </c>
      <c r="B9" s="5" t="s">
        <v>74</v>
      </c>
      <c r="C9" s="5">
        <v>1000</v>
      </c>
      <c r="D9" s="11">
        <v>960</v>
      </c>
      <c r="E9" s="9">
        <f>2200/118*100</f>
        <v>1864.406779661017</v>
      </c>
      <c r="F9" s="10">
        <f t="shared" si="5"/>
        <v>2200</v>
      </c>
      <c r="G9" s="10">
        <f t="shared" si="0"/>
        <v>2112000</v>
      </c>
      <c r="H9" s="10" t="s">
        <v>125</v>
      </c>
      <c r="I9" s="10" t="s">
        <v>128</v>
      </c>
      <c r="J9" s="10">
        <f>G9*100%</f>
        <v>2112000</v>
      </c>
      <c r="K9" s="10"/>
      <c r="L9" s="10">
        <f t="shared" si="6"/>
        <v>0</v>
      </c>
    </row>
    <row r="10" spans="1:12">
      <c r="A10" s="4">
        <f t="shared" si="7"/>
        <v>3</v>
      </c>
      <c r="B10" s="5" t="s">
        <v>86</v>
      </c>
      <c r="C10" s="10">
        <v>200</v>
      </c>
      <c r="D10" s="11">
        <v>177</v>
      </c>
      <c r="E10" s="30">
        <f>2360/118*100</f>
        <v>2000</v>
      </c>
      <c r="F10" s="10">
        <f t="shared" si="5"/>
        <v>2360</v>
      </c>
      <c r="G10" s="10">
        <f t="shared" si="0"/>
        <v>417720</v>
      </c>
      <c r="H10" s="10" t="s">
        <v>125</v>
      </c>
      <c r="I10" s="10" t="s">
        <v>129</v>
      </c>
      <c r="J10" s="10">
        <f>G10*50%</f>
        <v>208860</v>
      </c>
      <c r="K10" s="10"/>
      <c r="L10" s="10">
        <f t="shared" si="6"/>
        <v>208860</v>
      </c>
    </row>
    <row r="11" spans="1:12">
      <c r="A11" s="4"/>
      <c r="B11" s="5" t="s">
        <v>86</v>
      </c>
      <c r="C11" s="10">
        <v>200</v>
      </c>
      <c r="D11" s="11">
        <v>47</v>
      </c>
      <c r="E11" s="30">
        <f>2360/118*100</f>
        <v>2000</v>
      </c>
      <c r="F11" s="10">
        <f>E11*1.18</f>
        <v>2360</v>
      </c>
      <c r="G11" s="10">
        <f t="shared" si="0"/>
        <v>110920</v>
      </c>
      <c r="H11" s="10" t="s">
        <v>130</v>
      </c>
      <c r="I11" s="10" t="s">
        <v>131</v>
      </c>
      <c r="J11" s="10">
        <f>G11*50%</f>
        <v>55460</v>
      </c>
      <c r="K11" s="10"/>
      <c r="L11" s="10">
        <f t="shared" si="6"/>
        <v>55460</v>
      </c>
    </row>
    <row r="12" spans="1:12">
      <c r="A12" s="4">
        <f>A10+1</f>
        <v>4</v>
      </c>
      <c r="B12" s="5" t="s">
        <v>88</v>
      </c>
      <c r="C12" s="10">
        <v>350</v>
      </c>
      <c r="D12" s="11">
        <v>363</v>
      </c>
      <c r="E12" s="30">
        <f>2124/118*100</f>
        <v>1800</v>
      </c>
      <c r="F12" s="10">
        <f t="shared" si="5"/>
        <v>2124</v>
      </c>
      <c r="G12" s="10">
        <f t="shared" si="0"/>
        <v>771012</v>
      </c>
      <c r="H12" s="10" t="s">
        <v>125</v>
      </c>
      <c r="I12" s="10" t="s">
        <v>132</v>
      </c>
      <c r="J12" s="10">
        <f>G12*10%</f>
        <v>77101.2</v>
      </c>
      <c r="K12" s="10"/>
      <c r="L12" s="286">
        <f>G12-J12-J13</f>
        <v>385506.00000000006</v>
      </c>
    </row>
    <row r="13" spans="1:12">
      <c r="A13" s="4"/>
      <c r="B13" s="5" t="s">
        <v>88</v>
      </c>
      <c r="C13" s="10">
        <v>350</v>
      </c>
      <c r="D13" s="11">
        <v>363</v>
      </c>
      <c r="E13" s="30">
        <f>2124/118*100</f>
        <v>1800</v>
      </c>
      <c r="F13" s="10">
        <f t="shared" ref="F13" si="8">E13*1.18</f>
        <v>2124</v>
      </c>
      <c r="G13" s="10">
        <f t="shared" ref="G13" si="9">IFERROR(D13*F13,0)</f>
        <v>771012</v>
      </c>
      <c r="H13" s="10" t="s">
        <v>232</v>
      </c>
      <c r="I13" s="10" t="s">
        <v>253</v>
      </c>
      <c r="J13" s="10">
        <f>G13*40%</f>
        <v>308404.8</v>
      </c>
      <c r="K13" s="10"/>
      <c r="L13" s="288"/>
    </row>
    <row r="14" spans="1:12">
      <c r="A14" s="4">
        <f>A12+1</f>
        <v>5</v>
      </c>
      <c r="B14" s="5" t="s">
        <v>94</v>
      </c>
      <c r="C14" s="10">
        <v>250</v>
      </c>
      <c r="D14" s="11">
        <v>191</v>
      </c>
      <c r="E14" s="30">
        <f>2500/118*100</f>
        <v>2118.6440677966102</v>
      </c>
      <c r="F14" s="10">
        <f t="shared" si="5"/>
        <v>2500</v>
      </c>
      <c r="G14" s="10">
        <f t="shared" si="0"/>
        <v>477500</v>
      </c>
      <c r="H14" s="10" t="s">
        <v>125</v>
      </c>
      <c r="I14" s="10" t="s">
        <v>133</v>
      </c>
      <c r="J14" s="10">
        <f>G14*50%</f>
        <v>238750</v>
      </c>
      <c r="K14" s="10"/>
      <c r="L14" s="10">
        <f t="shared" si="6"/>
        <v>238750</v>
      </c>
    </row>
    <row r="15" spans="1:12">
      <c r="A15" s="4">
        <f t="shared" si="7"/>
        <v>6</v>
      </c>
      <c r="B15" s="5" t="s">
        <v>95</v>
      </c>
      <c r="C15" s="10">
        <v>450</v>
      </c>
      <c r="D15" s="5">
        <f>162+156+120</f>
        <v>438</v>
      </c>
      <c r="E15" s="30">
        <f>1200/118*100</f>
        <v>1016.9491525423729</v>
      </c>
      <c r="F15" s="10">
        <f t="shared" si="5"/>
        <v>1200</v>
      </c>
      <c r="G15" s="10">
        <f t="shared" si="0"/>
        <v>525600</v>
      </c>
      <c r="H15" s="10" t="s">
        <v>125</v>
      </c>
      <c r="I15" s="10" t="s">
        <v>134</v>
      </c>
      <c r="J15" s="10">
        <f>G15*25%+1</f>
        <v>131401</v>
      </c>
      <c r="K15" s="10"/>
      <c r="L15" s="286">
        <f>G15-J15-J16-J17</f>
        <v>131397</v>
      </c>
    </row>
    <row r="16" spans="1:12">
      <c r="A16" s="4"/>
      <c r="B16" s="5" t="s">
        <v>95</v>
      </c>
      <c r="C16" s="10">
        <v>450</v>
      </c>
      <c r="D16" s="5">
        <f t="shared" ref="D16:D17" si="10">162+156+120</f>
        <v>438</v>
      </c>
      <c r="E16" s="30">
        <f t="shared" ref="E16:E17" si="11">1200/118*100</f>
        <v>1016.9491525423729</v>
      </c>
      <c r="F16" s="10">
        <f t="shared" ref="F16:F17" si="12">E16*1.18</f>
        <v>1200</v>
      </c>
      <c r="G16" s="10">
        <f t="shared" ref="G16:G17" si="13">IFERROR(D16*F16,0)</f>
        <v>525600</v>
      </c>
      <c r="H16" s="10" t="s">
        <v>270</v>
      </c>
      <c r="I16" s="10" t="s">
        <v>275</v>
      </c>
      <c r="J16" s="10">
        <f t="shared" ref="J16:J17" si="14">G16*25%+1</f>
        <v>131401</v>
      </c>
      <c r="K16" s="10"/>
      <c r="L16" s="287"/>
    </row>
    <row r="17" spans="1:21">
      <c r="A17" s="4"/>
      <c r="B17" s="5" t="s">
        <v>95</v>
      </c>
      <c r="C17" s="10">
        <v>450</v>
      </c>
      <c r="D17" s="5">
        <f t="shared" si="10"/>
        <v>438</v>
      </c>
      <c r="E17" s="30">
        <f t="shared" si="11"/>
        <v>1016.9491525423729</v>
      </c>
      <c r="F17" s="10">
        <f t="shared" si="12"/>
        <v>1200</v>
      </c>
      <c r="G17" s="10">
        <f t="shared" si="13"/>
        <v>525600</v>
      </c>
      <c r="H17" s="10" t="s">
        <v>270</v>
      </c>
      <c r="I17" s="10" t="s">
        <v>276</v>
      </c>
      <c r="J17" s="10">
        <f t="shared" si="14"/>
        <v>131401</v>
      </c>
      <c r="K17" s="10"/>
      <c r="L17" s="288"/>
    </row>
    <row r="18" spans="1:21">
      <c r="A18" s="4">
        <f>A15+1</f>
        <v>7</v>
      </c>
      <c r="B18" s="5" t="s">
        <v>98</v>
      </c>
      <c r="C18" s="10">
        <v>50</v>
      </c>
      <c r="D18" s="5">
        <v>40</v>
      </c>
      <c r="E18" s="30">
        <v>2542.37</v>
      </c>
      <c r="F18" s="10">
        <f t="shared" si="5"/>
        <v>2999.9965999999995</v>
      </c>
      <c r="G18" s="10">
        <f t="shared" si="0"/>
        <v>119999.86399999997</v>
      </c>
      <c r="H18" s="10" t="s">
        <v>125</v>
      </c>
      <c r="I18" s="10" t="s">
        <v>135</v>
      </c>
      <c r="J18" s="10">
        <f>G18*100%</f>
        <v>119999.86399999997</v>
      </c>
      <c r="K18" s="10"/>
      <c r="L18" s="10">
        <f t="shared" si="6"/>
        <v>0</v>
      </c>
    </row>
    <row r="19" spans="1:21">
      <c r="A19" s="4"/>
      <c r="B19" s="5" t="s">
        <v>98</v>
      </c>
      <c r="C19" s="10">
        <v>0</v>
      </c>
      <c r="D19" s="5">
        <v>1</v>
      </c>
      <c r="E19" s="30">
        <v>2542.37</v>
      </c>
      <c r="F19" s="10">
        <f t="shared" ref="F19" si="15">E19*1.18</f>
        <v>2999.9965999999995</v>
      </c>
      <c r="G19" s="10">
        <f t="shared" ref="G19" si="16">IFERROR(D19*F19,0)</f>
        <v>2999.9965999999995</v>
      </c>
      <c r="H19" s="10" t="s">
        <v>125</v>
      </c>
      <c r="I19" s="10" t="s">
        <v>136</v>
      </c>
      <c r="J19" s="10">
        <f>G19*100%</f>
        <v>2999.9965999999995</v>
      </c>
      <c r="K19" s="10"/>
      <c r="L19" s="10">
        <f t="shared" si="6"/>
        <v>0</v>
      </c>
    </row>
    <row r="20" spans="1:21">
      <c r="A20" s="4">
        <f>A18+1</f>
        <v>8</v>
      </c>
      <c r="B20" s="5" t="s">
        <v>99</v>
      </c>
      <c r="C20" s="10">
        <v>10</v>
      </c>
      <c r="D20" s="5">
        <v>11</v>
      </c>
      <c r="E20" s="30">
        <f>2500/118*100</f>
        <v>2118.6440677966102</v>
      </c>
      <c r="F20" s="10">
        <f t="shared" si="5"/>
        <v>2500</v>
      </c>
      <c r="G20" s="10">
        <f t="shared" si="0"/>
        <v>27500</v>
      </c>
      <c r="H20" s="10" t="s">
        <v>125</v>
      </c>
      <c r="I20" s="301" t="s">
        <v>137</v>
      </c>
      <c r="J20" s="10">
        <f t="shared" ref="J20:J21" si="17">G20*100%</f>
        <v>27500</v>
      </c>
      <c r="K20" s="10"/>
      <c r="L20" s="10">
        <f t="shared" si="6"/>
        <v>0</v>
      </c>
    </row>
    <row r="21" spans="1:21">
      <c r="A21" s="4">
        <f t="shared" si="7"/>
        <v>9</v>
      </c>
      <c r="B21" s="5" t="s">
        <v>100</v>
      </c>
      <c r="C21" s="10">
        <v>60</v>
      </c>
      <c r="D21" s="5">
        <v>67</v>
      </c>
      <c r="E21" s="30">
        <f>2360/118*100</f>
        <v>2000</v>
      </c>
      <c r="F21" s="10">
        <f t="shared" si="5"/>
        <v>2360</v>
      </c>
      <c r="G21" s="10">
        <f t="shared" si="0"/>
        <v>158120</v>
      </c>
      <c r="H21" s="10" t="s">
        <v>125</v>
      </c>
      <c r="I21" s="301"/>
      <c r="J21" s="10">
        <f t="shared" si="17"/>
        <v>158120</v>
      </c>
      <c r="K21" s="10"/>
      <c r="L21" s="10">
        <f t="shared" si="6"/>
        <v>0</v>
      </c>
    </row>
    <row r="22" spans="1:21">
      <c r="A22" s="4">
        <f t="shared" si="7"/>
        <v>10</v>
      </c>
      <c r="B22" s="5" t="s">
        <v>101</v>
      </c>
      <c r="C22" s="10">
        <v>385</v>
      </c>
      <c r="D22" s="10">
        <v>670</v>
      </c>
      <c r="E22" s="30">
        <f>1725/118*100</f>
        <v>1461.8644067796611</v>
      </c>
      <c r="F22" s="10">
        <f t="shared" si="5"/>
        <v>1725</v>
      </c>
      <c r="G22" s="10">
        <f>IFERROR(D22*F22,0)</f>
        <v>1155750</v>
      </c>
      <c r="H22" s="10" t="s">
        <v>125</v>
      </c>
      <c r="I22" s="10" t="s">
        <v>138</v>
      </c>
      <c r="J22" s="10">
        <v>664125</v>
      </c>
      <c r="K22" s="10"/>
      <c r="L22" s="10">
        <f t="shared" si="6"/>
        <v>491625</v>
      </c>
    </row>
    <row r="23" spans="1:21">
      <c r="A23" s="4">
        <f t="shared" si="7"/>
        <v>11</v>
      </c>
      <c r="B23" s="5" t="s">
        <v>96</v>
      </c>
      <c r="C23" s="5">
        <v>0</v>
      </c>
      <c r="D23" s="8">
        <v>183</v>
      </c>
      <c r="E23" s="41">
        <f>1200/118*100</f>
        <v>1016.9491525423729</v>
      </c>
      <c r="F23" s="10">
        <f t="shared" ref="F23" si="18">E23*1.18</f>
        <v>1200</v>
      </c>
      <c r="G23" s="10">
        <f t="shared" si="0"/>
        <v>219600</v>
      </c>
      <c r="H23" s="52" t="s">
        <v>130</v>
      </c>
      <c r="I23" s="10" t="s">
        <v>139</v>
      </c>
      <c r="J23" s="5">
        <v>109800</v>
      </c>
      <c r="K23" s="5"/>
      <c r="L23" s="10">
        <f t="shared" si="6"/>
        <v>109800</v>
      </c>
    </row>
    <row r="24" spans="1:21">
      <c r="A24" s="4">
        <f t="shared" si="7"/>
        <v>12</v>
      </c>
      <c r="B24" s="40" t="s">
        <v>201</v>
      </c>
      <c r="C24" s="5">
        <v>0</v>
      </c>
      <c r="D24" s="8">
        <v>26</v>
      </c>
      <c r="E24" s="5">
        <v>2542.37</v>
      </c>
      <c r="F24" s="5">
        <v>3000</v>
      </c>
      <c r="G24" s="10">
        <f t="shared" si="0"/>
        <v>78000</v>
      </c>
      <c r="H24" s="53" t="s">
        <v>140</v>
      </c>
      <c r="I24" s="10" t="s">
        <v>141</v>
      </c>
      <c r="J24" s="5">
        <v>78000</v>
      </c>
      <c r="K24" s="5"/>
      <c r="L24" s="10">
        <f t="shared" si="6"/>
        <v>0</v>
      </c>
    </row>
    <row r="25" spans="1:21">
      <c r="A25" s="4">
        <f t="shared" si="7"/>
        <v>13</v>
      </c>
      <c r="B25" s="5" t="s">
        <v>52</v>
      </c>
      <c r="C25" s="5">
        <v>420</v>
      </c>
      <c r="D25" s="8">
        <v>420</v>
      </c>
      <c r="E25" s="44">
        <v>2000</v>
      </c>
      <c r="F25" s="45">
        <f t="shared" ref="F25:F29" si="19">E25*1.18</f>
        <v>2360</v>
      </c>
      <c r="G25" s="10">
        <f t="shared" si="0"/>
        <v>991200</v>
      </c>
      <c r="H25" s="53" t="s">
        <v>140</v>
      </c>
      <c r="I25" s="10" t="s">
        <v>142</v>
      </c>
      <c r="J25" s="13">
        <f>'2025-2026'!X5</f>
        <v>384720</v>
      </c>
      <c r="K25" s="13"/>
      <c r="L25" s="10">
        <f t="shared" si="6"/>
        <v>606480</v>
      </c>
      <c r="M25" s="50"/>
      <c r="N25" s="25"/>
      <c r="O25" s="24"/>
      <c r="P25" s="51"/>
      <c r="Q25" s="24"/>
      <c r="R25" s="24"/>
      <c r="S25" s="24"/>
      <c r="T25" s="24"/>
      <c r="U25" s="24"/>
    </row>
    <row r="26" spans="1:21">
      <c r="A26" s="4">
        <f t="shared" si="7"/>
        <v>14</v>
      </c>
      <c r="B26" s="5" t="s">
        <v>76</v>
      </c>
      <c r="C26" s="5">
        <v>271</v>
      </c>
      <c r="D26" s="8">
        <v>270</v>
      </c>
      <c r="E26" s="45">
        <v>1800</v>
      </c>
      <c r="F26" s="45">
        <f t="shared" si="19"/>
        <v>2124</v>
      </c>
      <c r="G26" s="10">
        <f t="shared" si="0"/>
        <v>573480</v>
      </c>
      <c r="H26" s="53" t="s">
        <v>140</v>
      </c>
      <c r="I26" s="10" t="s">
        <v>143</v>
      </c>
      <c r="J26" s="13">
        <f>G26</f>
        <v>573480</v>
      </c>
      <c r="K26" s="5"/>
      <c r="L26" s="10">
        <f t="shared" si="6"/>
        <v>0</v>
      </c>
    </row>
    <row r="27" spans="1:21">
      <c r="A27" s="4">
        <f t="shared" si="7"/>
        <v>15</v>
      </c>
      <c r="B27" s="5" t="s">
        <v>77</v>
      </c>
      <c r="C27" s="5">
        <v>476</v>
      </c>
      <c r="D27" s="40">
        <v>474</v>
      </c>
      <c r="E27" s="45">
        <v>1800</v>
      </c>
      <c r="F27" s="45">
        <f t="shared" si="19"/>
        <v>2124</v>
      </c>
      <c r="G27" s="10">
        <f t="shared" si="0"/>
        <v>1006776</v>
      </c>
      <c r="H27" s="53" t="s">
        <v>140</v>
      </c>
      <c r="I27" s="10" t="s">
        <v>144</v>
      </c>
      <c r="J27" s="13">
        <f>G27</f>
        <v>1006776</v>
      </c>
      <c r="K27" s="5"/>
      <c r="L27" s="10">
        <f t="shared" si="6"/>
        <v>0</v>
      </c>
    </row>
    <row r="28" spans="1:21">
      <c r="A28" s="4">
        <f t="shared" si="7"/>
        <v>16</v>
      </c>
      <c r="B28" s="5" t="s">
        <v>79</v>
      </c>
      <c r="C28" s="5">
        <v>592</v>
      </c>
      <c r="D28" s="40">
        <v>589</v>
      </c>
      <c r="E28" s="45">
        <v>1800</v>
      </c>
      <c r="F28" s="45">
        <f t="shared" si="19"/>
        <v>2124</v>
      </c>
      <c r="G28" s="10">
        <f t="shared" si="0"/>
        <v>1251036</v>
      </c>
      <c r="H28" s="53" t="s">
        <v>140</v>
      </c>
      <c r="I28" s="10" t="s">
        <v>145</v>
      </c>
      <c r="J28" s="13">
        <f>G28</f>
        <v>1251036</v>
      </c>
      <c r="K28" s="5"/>
      <c r="L28" s="10">
        <f t="shared" si="6"/>
        <v>0</v>
      </c>
    </row>
    <row r="29" spans="1:21">
      <c r="A29" s="4">
        <f t="shared" si="7"/>
        <v>17</v>
      </c>
      <c r="B29" s="5" t="s">
        <v>81</v>
      </c>
      <c r="C29" s="5">
        <v>232</v>
      </c>
      <c r="D29" s="40">
        <v>239</v>
      </c>
      <c r="E29" s="45">
        <v>1800</v>
      </c>
      <c r="F29" s="45">
        <f t="shared" si="19"/>
        <v>2124</v>
      </c>
      <c r="G29" s="10">
        <f t="shared" si="0"/>
        <v>507636</v>
      </c>
      <c r="H29" s="53" t="s">
        <v>140</v>
      </c>
      <c r="I29" s="10" t="s">
        <v>146</v>
      </c>
      <c r="J29" s="13">
        <f>G29</f>
        <v>507636</v>
      </c>
      <c r="K29" s="5"/>
      <c r="L29" s="10">
        <f t="shared" si="6"/>
        <v>0</v>
      </c>
    </row>
    <row r="30" spans="1:21">
      <c r="A30" s="4">
        <f t="shared" si="7"/>
        <v>18</v>
      </c>
      <c r="B30" s="5" t="s">
        <v>90</v>
      </c>
      <c r="C30" s="10">
        <v>400</v>
      </c>
      <c r="D30" s="47">
        <v>343</v>
      </c>
      <c r="E30" s="45">
        <v>2000</v>
      </c>
      <c r="F30" s="45">
        <f t="shared" ref="F30" si="20">E30*1.18</f>
        <v>2360</v>
      </c>
      <c r="G30" s="10">
        <f t="shared" si="0"/>
        <v>809480</v>
      </c>
      <c r="H30" s="5" t="s">
        <v>159</v>
      </c>
      <c r="I30" s="10" t="s">
        <v>160</v>
      </c>
      <c r="J30" s="74">
        <v>202370</v>
      </c>
      <c r="K30" s="5"/>
      <c r="L30" s="10">
        <f t="shared" si="6"/>
        <v>607110</v>
      </c>
      <c r="N30" s="24"/>
      <c r="O30" s="24"/>
      <c r="P30" s="68"/>
      <c r="Q30" s="25"/>
      <c r="R30" s="24"/>
      <c r="S30" s="69"/>
    </row>
    <row r="31" spans="1:21">
      <c r="A31" s="4">
        <f t="shared" si="7"/>
        <v>19</v>
      </c>
      <c r="B31" s="5" t="s">
        <v>91</v>
      </c>
      <c r="C31" s="10">
        <v>800</v>
      </c>
      <c r="D31" s="47">
        <v>796</v>
      </c>
      <c r="E31" s="45">
        <f>1200/118*100</f>
        <v>1016.9491525423729</v>
      </c>
      <c r="F31" s="45">
        <f t="shared" ref="F31" si="21">E31*1.18</f>
        <v>1200</v>
      </c>
      <c r="G31" s="10">
        <f t="shared" si="0"/>
        <v>955200</v>
      </c>
      <c r="H31" s="5" t="s">
        <v>159</v>
      </c>
      <c r="I31" s="72" t="s">
        <v>161</v>
      </c>
      <c r="J31" s="5">
        <v>318400</v>
      </c>
      <c r="K31" s="73"/>
      <c r="L31" s="302">
        <f>G31-J31-J32</f>
        <v>318400</v>
      </c>
      <c r="N31" s="24"/>
      <c r="O31" s="24"/>
      <c r="P31" s="68"/>
      <c r="Q31" s="70"/>
      <c r="R31" s="24"/>
      <c r="S31" s="71"/>
    </row>
    <row r="32" spans="1:21">
      <c r="A32" s="4"/>
      <c r="B32" s="5" t="s">
        <v>91</v>
      </c>
      <c r="C32" s="10">
        <v>800</v>
      </c>
      <c r="D32" s="47">
        <v>796</v>
      </c>
      <c r="E32" s="45">
        <f>1200/118*100</f>
        <v>1016.9491525423729</v>
      </c>
      <c r="F32" s="45">
        <f t="shared" ref="F32" si="22">E32*1.18</f>
        <v>1200</v>
      </c>
      <c r="G32" s="10">
        <f t="shared" ref="G32" si="23">IFERROR(D32*F32,0)</f>
        <v>955200</v>
      </c>
      <c r="H32" s="5" t="s">
        <v>159</v>
      </c>
      <c r="I32" s="72" t="s">
        <v>258</v>
      </c>
      <c r="J32" s="5">
        <v>318400</v>
      </c>
      <c r="K32" s="73"/>
      <c r="L32" s="303"/>
      <c r="N32" s="24"/>
      <c r="O32" s="24"/>
      <c r="P32" s="68"/>
      <c r="Q32" s="70"/>
      <c r="R32" s="24"/>
      <c r="S32" s="71"/>
    </row>
    <row r="33" spans="1:20">
      <c r="A33" s="39">
        <f>A31+1</f>
        <v>20</v>
      </c>
      <c r="B33" s="40" t="s">
        <v>172</v>
      </c>
      <c r="C33" s="78">
        <v>1</v>
      </c>
      <c r="D33" s="78">
        <v>4</v>
      </c>
      <c r="E33" s="79">
        <v>2524.37</v>
      </c>
      <c r="F33" s="80">
        <v>3000</v>
      </c>
      <c r="G33" s="10">
        <f t="shared" si="0"/>
        <v>12000</v>
      </c>
      <c r="H33" s="5" t="s">
        <v>159</v>
      </c>
      <c r="I33" s="72" t="s">
        <v>173</v>
      </c>
      <c r="J33" s="5">
        <v>12000</v>
      </c>
      <c r="K33" s="8"/>
      <c r="L33" s="10">
        <f t="shared" si="6"/>
        <v>0</v>
      </c>
      <c r="M33" s="81"/>
      <c r="N33" s="24"/>
      <c r="P33" s="14"/>
      <c r="Q33" s="25"/>
      <c r="R33" s="24"/>
      <c r="S33" s="14"/>
    </row>
    <row r="34" spans="1:20">
      <c r="A34" s="39">
        <f>A33+1</f>
        <v>21</v>
      </c>
      <c r="B34" s="5" t="s">
        <v>102</v>
      </c>
      <c r="C34" s="5"/>
      <c r="D34" s="5">
        <v>342</v>
      </c>
      <c r="E34" s="45">
        <f>F34*100/118</f>
        <v>1220.3389830508474</v>
      </c>
      <c r="F34" s="5">
        <v>1440</v>
      </c>
      <c r="G34" s="5">
        <f t="shared" si="0"/>
        <v>492480</v>
      </c>
      <c r="H34" s="5" t="s">
        <v>159</v>
      </c>
      <c r="I34" s="10" t="s">
        <v>204</v>
      </c>
      <c r="J34" s="5">
        <v>123120</v>
      </c>
      <c r="K34" s="8"/>
      <c r="L34" s="286">
        <f>G34-J34-J35</f>
        <v>203320</v>
      </c>
    </row>
    <row r="35" spans="1:20">
      <c r="A35" s="39"/>
      <c r="B35" s="5" t="s">
        <v>102</v>
      </c>
      <c r="C35" s="5"/>
      <c r="D35" s="5">
        <v>342</v>
      </c>
      <c r="E35" s="45">
        <f>F35*100/118</f>
        <v>1220.3389830508474</v>
      </c>
      <c r="F35" s="5">
        <v>1440</v>
      </c>
      <c r="G35" s="5">
        <f>IFERROR(D35*F35,0)</f>
        <v>492480</v>
      </c>
      <c r="H35" s="5" t="s">
        <v>159</v>
      </c>
      <c r="I35" s="10" t="s">
        <v>249</v>
      </c>
      <c r="J35" s="5">
        <v>166040</v>
      </c>
      <c r="K35" s="5"/>
      <c r="L35" s="288"/>
    </row>
    <row r="36" spans="1:20">
      <c r="A36" s="39">
        <f>A34+1</f>
        <v>22</v>
      </c>
      <c r="B36" s="40" t="s">
        <v>117</v>
      </c>
      <c r="C36" s="5"/>
      <c r="D36" s="5">
        <v>31</v>
      </c>
      <c r="E36" s="45">
        <f>F36*100/118</f>
        <v>1016.9491525423729</v>
      </c>
      <c r="F36" s="5">
        <v>1200</v>
      </c>
      <c r="G36" s="5">
        <f t="shared" si="0"/>
        <v>37200</v>
      </c>
      <c r="H36" s="5" t="s">
        <v>159</v>
      </c>
      <c r="I36" s="10" t="s">
        <v>205</v>
      </c>
      <c r="J36" s="5">
        <v>18600</v>
      </c>
      <c r="K36" s="5"/>
      <c r="L36" s="10">
        <f t="shared" si="6"/>
        <v>18600</v>
      </c>
    </row>
    <row r="37" spans="1:20">
      <c r="A37" s="39">
        <f t="shared" ref="A37:A50" si="24">A36+1</f>
        <v>23</v>
      </c>
      <c r="B37" s="5" t="s">
        <v>59</v>
      </c>
      <c r="C37" s="5">
        <v>540</v>
      </c>
      <c r="D37" s="11">
        <v>531</v>
      </c>
      <c r="E37" s="44">
        <v>2700</v>
      </c>
      <c r="F37" s="45">
        <f t="shared" ref="F37" si="25">E37*1.18</f>
        <v>3186</v>
      </c>
      <c r="G37" s="10">
        <f t="shared" ref="G37" si="26">IFERROR(D37*F37,0)</f>
        <v>1691766</v>
      </c>
      <c r="H37" s="5" t="s">
        <v>232</v>
      </c>
      <c r="I37" s="10" t="s">
        <v>233</v>
      </c>
      <c r="J37" s="5">
        <v>422942</v>
      </c>
      <c r="K37" s="5"/>
      <c r="L37" s="302">
        <f>G37-J37-J38</f>
        <v>845882</v>
      </c>
      <c r="P37" s="68"/>
      <c r="Q37" s="25"/>
      <c r="R37" s="24"/>
      <c r="S37" s="119"/>
    </row>
    <row r="38" spans="1:20">
      <c r="A38" s="39"/>
      <c r="B38" s="5" t="s">
        <v>59</v>
      </c>
      <c r="C38" s="5">
        <v>540</v>
      </c>
      <c r="D38" s="11">
        <v>531</v>
      </c>
      <c r="E38" s="44">
        <v>2700</v>
      </c>
      <c r="F38" s="45">
        <f t="shared" ref="F38" si="27">E38*1.18</f>
        <v>3186</v>
      </c>
      <c r="G38" s="10">
        <f t="shared" ref="G38" si="28">IFERROR(D38*F38,0)</f>
        <v>1691766</v>
      </c>
      <c r="H38" s="5" t="s">
        <v>270</v>
      </c>
      <c r="I38" s="10" t="s">
        <v>271</v>
      </c>
      <c r="J38" s="5">
        <v>422942</v>
      </c>
      <c r="K38" s="5"/>
      <c r="L38" s="303"/>
      <c r="P38" s="68"/>
      <c r="Q38" s="25"/>
      <c r="R38" s="24"/>
      <c r="S38" s="119"/>
    </row>
    <row r="39" spans="1:20">
      <c r="A39" s="39">
        <f>A37+1</f>
        <v>24</v>
      </c>
      <c r="B39" s="5" t="s">
        <v>155</v>
      </c>
      <c r="C39" s="5">
        <v>10</v>
      </c>
      <c r="D39" s="5">
        <v>10</v>
      </c>
      <c r="E39" s="5">
        <v>2118.64</v>
      </c>
      <c r="F39" s="5">
        <v>2500</v>
      </c>
      <c r="G39" s="5">
        <f>IFERROR(D39*F39,0)</f>
        <v>25000</v>
      </c>
      <c r="H39" s="5" t="s">
        <v>232</v>
      </c>
      <c r="I39" s="10" t="s">
        <v>234</v>
      </c>
      <c r="J39" s="118">
        <v>25000</v>
      </c>
      <c r="K39" s="13"/>
      <c r="L39" s="10">
        <f t="shared" si="6"/>
        <v>0</v>
      </c>
      <c r="M39" s="68"/>
    </row>
    <row r="40" spans="1:20">
      <c r="A40" s="39">
        <f t="shared" si="24"/>
        <v>25</v>
      </c>
      <c r="B40" s="5" t="s">
        <v>201</v>
      </c>
      <c r="C40" s="5">
        <v>162</v>
      </c>
      <c r="D40" s="5">
        <v>83</v>
      </c>
      <c r="E40" s="5">
        <v>1016.95</v>
      </c>
      <c r="F40" s="5">
        <v>1200</v>
      </c>
      <c r="G40" s="10">
        <f>IFERROR(D40*F40,0)</f>
        <v>99600</v>
      </c>
      <c r="H40" s="5" t="s">
        <v>232</v>
      </c>
      <c r="I40" s="10" t="s">
        <v>235</v>
      </c>
      <c r="J40" s="118">
        <v>25000</v>
      </c>
      <c r="K40" s="13"/>
      <c r="L40" s="10">
        <f t="shared" si="6"/>
        <v>74600</v>
      </c>
      <c r="Q40" s="25"/>
      <c r="R40" s="24"/>
      <c r="S40" s="71"/>
    </row>
    <row r="41" spans="1:20">
      <c r="A41" s="39">
        <f t="shared" si="24"/>
        <v>26</v>
      </c>
      <c r="B41" s="5" t="s">
        <v>148</v>
      </c>
      <c r="C41" s="10">
        <v>20</v>
      </c>
      <c r="D41" s="75">
        <v>21</v>
      </c>
      <c r="E41" s="66">
        <v>1694.92</v>
      </c>
      <c r="F41" s="45">
        <v>2000</v>
      </c>
      <c r="G41" s="10">
        <f t="shared" ref="G41" si="29">IFERROR(D41*F41,0)</f>
        <v>42000</v>
      </c>
      <c r="H41" s="5" t="s">
        <v>232</v>
      </c>
      <c r="I41" s="10" t="s">
        <v>248</v>
      </c>
      <c r="J41" s="118">
        <v>42000</v>
      </c>
      <c r="K41" s="5"/>
      <c r="L41" s="10">
        <f t="shared" ref="L41" si="30">G41-J41</f>
        <v>0</v>
      </c>
      <c r="M41" s="125"/>
      <c r="N41" s="24"/>
      <c r="O41" s="24"/>
      <c r="P41" s="68"/>
      <c r="Q41" s="25"/>
      <c r="R41" s="68"/>
      <c r="S41" s="71"/>
    </row>
    <row r="42" spans="1:20">
      <c r="A42" s="39">
        <f t="shared" si="24"/>
        <v>27</v>
      </c>
      <c r="B42" s="5" t="s">
        <v>83</v>
      </c>
      <c r="C42" s="10">
        <v>430</v>
      </c>
      <c r="D42" s="11">
        <v>450</v>
      </c>
      <c r="E42" s="45">
        <f>2070/118*100</f>
        <v>1754.2372881355932</v>
      </c>
      <c r="F42" s="45">
        <v>2070</v>
      </c>
      <c r="G42" s="10">
        <f t="shared" ref="G42" si="31">IFERROR(D42*F42,0)</f>
        <v>931500</v>
      </c>
      <c r="H42" s="5" t="s">
        <v>232</v>
      </c>
      <c r="I42" s="10" t="s">
        <v>251</v>
      </c>
      <c r="J42" s="5">
        <v>232875</v>
      </c>
      <c r="K42" s="5"/>
      <c r="L42" s="304">
        <f>G42-J42-J43</f>
        <v>465750</v>
      </c>
      <c r="P42" s="68"/>
      <c r="Q42" s="25"/>
      <c r="R42" s="68"/>
      <c r="S42" s="69"/>
    </row>
    <row r="43" spans="1:20">
      <c r="A43" s="39"/>
      <c r="B43" s="5" t="s">
        <v>83</v>
      </c>
      <c r="C43" s="10">
        <v>430</v>
      </c>
      <c r="D43" s="11">
        <v>450</v>
      </c>
      <c r="E43" s="45">
        <f>2070/118*100</f>
        <v>1754.2372881355932</v>
      </c>
      <c r="F43" s="45">
        <v>2070</v>
      </c>
      <c r="G43" s="10">
        <f t="shared" ref="G43" si="32">IFERROR(D43*F43,0)</f>
        <v>931500</v>
      </c>
      <c r="H43" s="5" t="s">
        <v>277</v>
      </c>
      <c r="I43" s="10" t="s">
        <v>280</v>
      </c>
      <c r="J43" s="5">
        <v>232875</v>
      </c>
      <c r="K43" s="5"/>
      <c r="L43" s="305"/>
      <c r="P43" s="68"/>
      <c r="Q43" s="25"/>
      <c r="R43" s="68"/>
      <c r="S43" s="69"/>
    </row>
    <row r="44" spans="1:20">
      <c r="A44" s="39">
        <f>A42+1</f>
        <v>28</v>
      </c>
      <c r="B44" s="40" t="s">
        <v>228</v>
      </c>
      <c r="C44" s="5">
        <v>80</v>
      </c>
      <c r="D44" s="5">
        <v>69</v>
      </c>
      <c r="E44" s="9">
        <f>F44*100/118</f>
        <v>847.45762711864404</v>
      </c>
      <c r="F44" s="5">
        <v>1000</v>
      </c>
      <c r="G44" s="10">
        <f>IFERROR(D44*F44,0)</f>
        <v>69000</v>
      </c>
      <c r="H44" s="5" t="s">
        <v>256</v>
      </c>
      <c r="I44" s="10" t="s">
        <v>257</v>
      </c>
      <c r="J44" s="5">
        <v>34500</v>
      </c>
      <c r="K44" s="5"/>
      <c r="L44" s="5">
        <f t="shared" ref="L44" si="33">G44-J44</f>
        <v>34500</v>
      </c>
      <c r="Q44" s="25"/>
      <c r="R44" s="68"/>
      <c r="S44" s="132"/>
      <c r="T44" s="133"/>
    </row>
    <row r="45" spans="1:20">
      <c r="A45" s="39">
        <f t="shared" si="24"/>
        <v>29</v>
      </c>
      <c r="B45" s="40" t="s">
        <v>166</v>
      </c>
      <c r="C45" s="5"/>
      <c r="D45" s="8">
        <v>120</v>
      </c>
      <c r="E45" s="41">
        <v>1271.19</v>
      </c>
      <c r="F45" s="41">
        <v>1500</v>
      </c>
      <c r="G45" s="10">
        <f>IFERROR(D45*F45,0)</f>
        <v>180000</v>
      </c>
      <c r="H45" s="5" t="s">
        <v>232</v>
      </c>
      <c r="I45" s="10" t="s">
        <v>261</v>
      </c>
      <c r="J45" s="5">
        <v>45000</v>
      </c>
      <c r="K45" s="5"/>
      <c r="L45" s="286">
        <f>G45-J45-J46</f>
        <v>90000</v>
      </c>
    </row>
    <row r="46" spans="1:20">
      <c r="A46" s="39">
        <f t="shared" si="24"/>
        <v>30</v>
      </c>
      <c r="B46" s="40" t="s">
        <v>166</v>
      </c>
      <c r="C46" s="5"/>
      <c r="D46" s="8">
        <v>120</v>
      </c>
      <c r="E46" s="41">
        <v>1271.19</v>
      </c>
      <c r="F46" s="41">
        <v>1500</v>
      </c>
      <c r="G46" s="10">
        <f>IFERROR(D46*F46,0)</f>
        <v>180000</v>
      </c>
      <c r="H46" s="5" t="s">
        <v>232</v>
      </c>
      <c r="I46" s="10" t="s">
        <v>261</v>
      </c>
      <c r="J46" s="5">
        <v>45000</v>
      </c>
      <c r="K46" s="5"/>
      <c r="L46" s="288"/>
    </row>
    <row r="47" spans="1:20">
      <c r="A47" s="39">
        <f t="shared" si="24"/>
        <v>31</v>
      </c>
      <c r="B47" s="5" t="s">
        <v>91</v>
      </c>
      <c r="C47" s="10">
        <v>800</v>
      </c>
      <c r="D47" s="47">
        <v>796</v>
      </c>
      <c r="E47" s="45">
        <f>1200/118*100</f>
        <v>1016.9491525423729</v>
      </c>
      <c r="F47" s="45">
        <f t="shared" ref="F47" si="34">E47*1.18</f>
        <v>1200</v>
      </c>
      <c r="G47" s="10">
        <f t="shared" ref="G47" si="35">IFERROR(D47*F47,0)</f>
        <v>955200</v>
      </c>
      <c r="H47" s="5" t="s">
        <v>256</v>
      </c>
      <c r="I47" s="10" t="s">
        <v>258</v>
      </c>
      <c r="J47" s="5">
        <v>318400</v>
      </c>
      <c r="K47" s="5"/>
      <c r="L47" s="5">
        <f t="shared" ref="L47" si="36">G47-J47</f>
        <v>636800</v>
      </c>
    </row>
    <row r="48" spans="1:20">
      <c r="A48" s="39">
        <f t="shared" si="24"/>
        <v>32</v>
      </c>
      <c r="B48" s="5" t="s">
        <v>105</v>
      </c>
      <c r="C48" s="31"/>
      <c r="D48" s="10">
        <v>732</v>
      </c>
      <c r="E48" s="64">
        <v>1016.95</v>
      </c>
      <c r="F48" s="45">
        <v>1200</v>
      </c>
      <c r="G48" s="10">
        <f t="shared" ref="G48" si="37">IFERROR(D48*F48,0)</f>
        <v>878400</v>
      </c>
      <c r="H48" s="5" t="s">
        <v>232</v>
      </c>
      <c r="I48" s="10" t="s">
        <v>249</v>
      </c>
      <c r="J48" s="5">
        <v>166040</v>
      </c>
      <c r="K48" s="5"/>
      <c r="L48" s="5">
        <f t="shared" ref="L48" si="38">G48-J48</f>
        <v>712360</v>
      </c>
    </row>
    <row r="49" spans="1:12">
      <c r="A49" s="39">
        <f t="shared" si="24"/>
        <v>33</v>
      </c>
      <c r="B49" s="5" t="s">
        <v>67</v>
      </c>
      <c r="C49" s="78">
        <v>500</v>
      </c>
      <c r="D49" s="10">
        <v>608</v>
      </c>
      <c r="E49" s="45">
        <v>2500</v>
      </c>
      <c r="F49" s="45">
        <f t="shared" ref="F49" si="39">E49*1.18</f>
        <v>2950</v>
      </c>
      <c r="G49" s="10">
        <f>IFERROR(D49*F49,0)-(100*2950*20%)</f>
        <v>1734600</v>
      </c>
      <c r="H49" s="5" t="s">
        <v>270</v>
      </c>
      <c r="I49" s="10" t="s">
        <v>269</v>
      </c>
      <c r="J49" s="5">
        <v>433650</v>
      </c>
      <c r="K49" s="5"/>
      <c r="L49" s="5">
        <f t="shared" ref="L49" si="40">G49-J49</f>
        <v>1300950</v>
      </c>
    </row>
    <row r="50" spans="1:12">
      <c r="A50" s="39">
        <f t="shared" si="24"/>
        <v>34</v>
      </c>
      <c r="B50" s="5" t="s">
        <v>52</v>
      </c>
      <c r="C50" s="5">
        <v>420</v>
      </c>
      <c r="D50" s="8">
        <v>420</v>
      </c>
      <c r="E50" s="44">
        <v>2000</v>
      </c>
      <c r="F50" s="45">
        <v>1832</v>
      </c>
      <c r="G50" s="10">
        <f t="shared" ref="G50" si="41">IFERROR(D50*F50,0)</f>
        <v>769440</v>
      </c>
      <c r="H50" s="5" t="s">
        <v>270</v>
      </c>
      <c r="I50" s="10" t="s">
        <v>273</v>
      </c>
      <c r="J50" s="5">
        <v>384720</v>
      </c>
      <c r="K50" s="5"/>
      <c r="L50" s="298">
        <f>G51-J50-J51</f>
        <v>0</v>
      </c>
    </row>
    <row r="51" spans="1:12">
      <c r="A51" s="39"/>
      <c r="B51" s="5" t="s">
        <v>52</v>
      </c>
      <c r="C51" s="5">
        <v>420</v>
      </c>
      <c r="D51" s="8">
        <v>420</v>
      </c>
      <c r="E51" s="44">
        <v>2000</v>
      </c>
      <c r="F51" s="45">
        <v>1832</v>
      </c>
      <c r="G51" s="10">
        <f t="shared" ref="G51" si="42">IFERROR(D51*F51,0)</f>
        <v>769440</v>
      </c>
      <c r="H51" s="5" t="s">
        <v>270</v>
      </c>
      <c r="I51" s="10" t="s">
        <v>274</v>
      </c>
      <c r="J51" s="5">
        <v>384720</v>
      </c>
      <c r="K51" s="5"/>
      <c r="L51" s="299"/>
    </row>
    <row r="52" spans="1:12">
      <c r="A52" s="39">
        <f>A50+1</f>
        <v>35</v>
      </c>
      <c r="B52" s="5" t="s">
        <v>259</v>
      </c>
      <c r="C52" s="5">
        <v>60</v>
      </c>
      <c r="D52" s="5">
        <v>60</v>
      </c>
      <c r="E52" s="9">
        <f>F52*100/118</f>
        <v>1525.4237288135594</v>
      </c>
      <c r="F52" s="5">
        <v>1800</v>
      </c>
      <c r="G52" s="10">
        <f>IFERROR(D52*F52,0)</f>
        <v>108000</v>
      </c>
      <c r="H52" s="5" t="s">
        <v>270</v>
      </c>
      <c r="I52" s="10" t="s">
        <v>272</v>
      </c>
      <c r="J52" s="5">
        <v>108000</v>
      </c>
      <c r="K52" s="5"/>
      <c r="L52" s="5">
        <f t="shared" ref="L52" si="43">G52-J52</f>
        <v>0</v>
      </c>
    </row>
  </sheetData>
  <autoFilter ref="A4:L22" xr:uid="{454B5386-B888-4EDE-B192-2BA73E80BBBF}"/>
  <mergeCells count="11">
    <mergeCell ref="L50:L51"/>
    <mergeCell ref="L45:L46"/>
    <mergeCell ref="I3:J3"/>
    <mergeCell ref="I20:I21"/>
    <mergeCell ref="L34:L35"/>
    <mergeCell ref="L12:L13"/>
    <mergeCell ref="L31:L32"/>
    <mergeCell ref="L37:L38"/>
    <mergeCell ref="L15:L17"/>
    <mergeCell ref="L5:L7"/>
    <mergeCell ref="L42:L43"/>
  </mergeCells>
  <conditionalFormatting sqref="B5:B22">
    <cfRule type="duplicateValues" dxfId="26" priority="13"/>
  </conditionalFormatting>
  <conditionalFormatting sqref="B23">
    <cfRule type="duplicateValues" dxfId="25" priority="11"/>
  </conditionalFormatting>
  <conditionalFormatting sqref="B25">
    <cfRule type="duplicateValues" dxfId="24" priority="9"/>
  </conditionalFormatting>
  <conditionalFormatting sqref="B26:B29">
    <cfRule type="duplicateValues" dxfId="23" priority="8"/>
  </conditionalFormatting>
  <conditionalFormatting sqref="B30">
    <cfRule type="duplicateValues" dxfId="22" priority="7"/>
  </conditionalFormatting>
  <conditionalFormatting sqref="B31:B32">
    <cfRule type="duplicateValues" dxfId="21" priority="6"/>
  </conditionalFormatting>
  <conditionalFormatting sqref="B37:B38">
    <cfRule type="duplicateValues" dxfId="20" priority="5"/>
  </conditionalFormatting>
  <conditionalFormatting sqref="B41">
    <cfRule type="duplicateValues" dxfId="19" priority="4"/>
  </conditionalFormatting>
  <conditionalFormatting sqref="B42:B43">
    <cfRule type="duplicateValues" dxfId="18" priority="3"/>
  </conditionalFormatting>
  <conditionalFormatting sqref="B48:B49">
    <cfRule type="duplicateValues" dxfId="17" priority="2"/>
  </conditionalFormatting>
  <conditionalFormatting sqref="B50:B51">
    <cfRule type="duplicateValues" dxfId="16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CE90F-4946-4027-809B-0D8FCE5256EC}">
  <dimension ref="A1:AE25"/>
  <sheetViews>
    <sheetView zoomScaleNormal="100" workbookViewId="0">
      <pane xSplit="2" ySplit="4" topLeftCell="J5" activePane="bottomRight" state="frozen"/>
      <selection pane="topRight" activeCell="C1" sqref="C1"/>
      <selection pane="bottomLeft" activeCell="A5" sqref="A5"/>
      <selection pane="bottomRight" activeCell="A5" sqref="A5"/>
    </sheetView>
  </sheetViews>
  <sheetFormatPr defaultRowHeight="15"/>
  <cols>
    <col min="1" max="1" width="9.85546875" customWidth="1"/>
    <col min="2" max="2" width="45.42578125" bestFit="1" customWidth="1"/>
    <col min="3" max="4" width="0" hidden="1" customWidth="1"/>
    <col min="5" max="5" width="14.28515625" hidden="1" customWidth="1"/>
    <col min="6" max="6" width="7.42578125" hidden="1" customWidth="1"/>
    <col min="7" max="7" width="27.42578125" hidden="1" customWidth="1"/>
    <col min="8" max="8" width="16.42578125" hidden="1" customWidth="1"/>
    <col min="9" max="9" width="12" hidden="1" customWidth="1"/>
    <col min="12" max="13" width="9.5703125" bestFit="1" customWidth="1"/>
    <col min="14" max="14" width="9.5703125" customWidth="1"/>
    <col min="15" max="15" width="10.5703125" bestFit="1" customWidth="1"/>
    <col min="18" max="18" width="18.42578125" bestFit="1" customWidth="1"/>
    <col min="19" max="19" width="6.85546875" bestFit="1" customWidth="1"/>
    <col min="20" max="20" width="10.5703125" bestFit="1" customWidth="1"/>
    <col min="21" max="21" width="10.28515625" customWidth="1"/>
    <col min="22" max="22" width="17.5703125" bestFit="1" customWidth="1"/>
    <col min="23" max="23" width="7.42578125" customWidth="1"/>
    <col min="24" max="24" width="9.85546875" customWidth="1"/>
    <col min="25" max="25" width="8.140625" customWidth="1"/>
    <col min="26" max="26" width="5.140625" customWidth="1"/>
    <col min="27" max="27" width="9.85546875" customWidth="1"/>
    <col min="28" max="28" width="8.28515625" customWidth="1"/>
    <col min="29" max="29" width="6.28515625" customWidth="1"/>
    <col min="30" max="30" width="9.42578125" customWidth="1"/>
    <col min="31" max="31" width="9" customWidth="1"/>
  </cols>
  <sheetData>
    <row r="1" spans="1:31">
      <c r="A1" s="2" t="s">
        <v>0</v>
      </c>
      <c r="B1" s="1"/>
      <c r="C1" s="21"/>
      <c r="D1" s="21"/>
      <c r="E1" s="6"/>
      <c r="F1" s="6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5"/>
      <c r="U1" s="15"/>
      <c r="V1" s="15"/>
      <c r="W1" s="1"/>
      <c r="X1" s="1"/>
      <c r="Y1" s="1"/>
      <c r="Z1" s="1"/>
      <c r="AA1" s="1"/>
      <c r="AB1" s="1"/>
      <c r="AC1" s="1"/>
      <c r="AD1" s="1"/>
      <c r="AE1" s="1"/>
    </row>
    <row r="2" spans="1:31">
      <c r="A2" s="2" t="s">
        <v>1</v>
      </c>
      <c r="B2" s="3"/>
      <c r="C2" s="42"/>
      <c r="D2" s="42"/>
      <c r="E2" s="21"/>
      <c r="F2" s="2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>
      <c r="A3" s="2"/>
      <c r="B3" s="3"/>
      <c r="C3" s="42"/>
      <c r="D3" s="42"/>
      <c r="E3" s="21"/>
      <c r="F3" s="2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306" t="s">
        <v>3</v>
      </c>
      <c r="T3" s="306"/>
      <c r="U3" s="306"/>
      <c r="V3" s="111"/>
      <c r="W3" s="307" t="s">
        <v>4</v>
      </c>
      <c r="X3" s="307"/>
      <c r="Y3" s="307"/>
      <c r="Z3" s="308" t="s">
        <v>5</v>
      </c>
      <c r="AA3" s="308"/>
      <c r="AB3" s="308"/>
      <c r="AC3" s="279" t="s">
        <v>6</v>
      </c>
      <c r="AD3" s="279"/>
      <c r="AE3" s="279"/>
    </row>
    <row r="4" spans="1:31" ht="75">
      <c r="A4" s="4" t="s">
        <v>29</v>
      </c>
      <c r="B4" s="4" t="s">
        <v>30</v>
      </c>
      <c r="C4" s="4" t="s">
        <v>31</v>
      </c>
      <c r="D4" s="4" t="s">
        <v>32</v>
      </c>
      <c r="E4" s="4" t="s">
        <v>33</v>
      </c>
      <c r="F4" s="4" t="s">
        <v>34</v>
      </c>
      <c r="G4" s="4" t="s">
        <v>35</v>
      </c>
      <c r="H4" s="4" t="s">
        <v>36</v>
      </c>
      <c r="I4" s="4" t="s">
        <v>37</v>
      </c>
      <c r="J4" s="4" t="s">
        <v>38</v>
      </c>
      <c r="K4" s="4" t="s">
        <v>39</v>
      </c>
      <c r="L4" s="4" t="s">
        <v>40</v>
      </c>
      <c r="M4" s="4" t="s">
        <v>41</v>
      </c>
      <c r="N4" s="4" t="s">
        <v>203</v>
      </c>
      <c r="O4" s="4" t="s">
        <v>42</v>
      </c>
      <c r="P4" s="4" t="s">
        <v>43</v>
      </c>
      <c r="Q4" s="4" t="s">
        <v>44</v>
      </c>
      <c r="R4" s="4" t="s">
        <v>178</v>
      </c>
      <c r="S4" s="7" t="s">
        <v>45</v>
      </c>
      <c r="T4" s="7" t="s">
        <v>46</v>
      </c>
      <c r="U4" s="7" t="s">
        <v>47</v>
      </c>
      <c r="V4" s="7" t="s">
        <v>224</v>
      </c>
      <c r="W4" s="17" t="s">
        <v>45</v>
      </c>
      <c r="X4" s="17" t="s">
        <v>46</v>
      </c>
      <c r="Y4" s="17" t="s">
        <v>47</v>
      </c>
      <c r="Z4" s="18" t="s">
        <v>45</v>
      </c>
      <c r="AA4" s="18" t="s">
        <v>46</v>
      </c>
      <c r="AB4" s="18" t="s">
        <v>47</v>
      </c>
      <c r="AC4" s="19" t="s">
        <v>45</v>
      </c>
      <c r="AD4" s="19" t="s">
        <v>46</v>
      </c>
      <c r="AE4" s="19" t="s">
        <v>47</v>
      </c>
    </row>
    <row r="5" spans="1:31">
      <c r="A5" s="4">
        <v>1</v>
      </c>
      <c r="B5" s="5" t="s">
        <v>67</v>
      </c>
      <c r="C5" s="31">
        <v>1</v>
      </c>
      <c r="D5" s="31"/>
      <c r="E5" s="43" t="s">
        <v>68</v>
      </c>
      <c r="F5" s="31" t="s">
        <v>54</v>
      </c>
      <c r="G5" s="5" t="s">
        <v>55</v>
      </c>
      <c r="H5" s="5" t="s">
        <v>56</v>
      </c>
      <c r="I5" s="5" t="s">
        <v>57</v>
      </c>
      <c r="J5" s="5">
        <v>500</v>
      </c>
      <c r="K5" s="47">
        <v>608</v>
      </c>
      <c r="L5" s="45">
        <v>2500</v>
      </c>
      <c r="M5" s="45">
        <f t="shared" ref="M5:M6" si="0">L5*1.18</f>
        <v>2950</v>
      </c>
      <c r="N5" s="45">
        <f>-(100*2950)*20%</f>
        <v>-59000</v>
      </c>
      <c r="O5" s="10">
        <f>IFERROR(K5*M5,0)+N5</f>
        <v>1734600</v>
      </c>
      <c r="P5" s="10"/>
      <c r="Q5" s="13" t="s">
        <v>147</v>
      </c>
      <c r="R5" s="13" t="s">
        <v>179</v>
      </c>
      <c r="S5" s="12">
        <v>0.25</v>
      </c>
      <c r="T5" s="13">
        <f>O5*S5</f>
        <v>433650</v>
      </c>
      <c r="U5" s="22" t="s">
        <v>61</v>
      </c>
      <c r="V5" s="22"/>
      <c r="W5" s="12"/>
      <c r="X5" s="13"/>
      <c r="Y5" s="23"/>
      <c r="Z5" s="12"/>
      <c r="AA5" s="13"/>
      <c r="AB5" s="23"/>
      <c r="AC5" s="12"/>
      <c r="AD5" s="13"/>
      <c r="AE5" s="23"/>
    </row>
    <row r="6" spans="1:31">
      <c r="A6" s="4">
        <f t="shared" ref="A6:A8" si="1">A5+1</f>
        <v>2</v>
      </c>
      <c r="B6" s="5" t="s">
        <v>90</v>
      </c>
      <c r="C6" s="31">
        <v>1</v>
      </c>
      <c r="D6" s="31"/>
      <c r="E6" s="31" t="s">
        <v>53</v>
      </c>
      <c r="F6" s="31" t="s">
        <v>54</v>
      </c>
      <c r="G6" s="29" t="s">
        <v>53</v>
      </c>
      <c r="H6" s="5" t="s">
        <v>56</v>
      </c>
      <c r="I6" s="5" t="s">
        <v>57</v>
      </c>
      <c r="J6" s="10">
        <v>400</v>
      </c>
      <c r="K6" s="47">
        <v>343</v>
      </c>
      <c r="L6" s="45">
        <v>2000</v>
      </c>
      <c r="M6" s="45">
        <f t="shared" si="0"/>
        <v>2360</v>
      </c>
      <c r="N6" s="45"/>
      <c r="O6" s="10">
        <f t="shared" ref="O6:O17" si="2">IFERROR(K6*M6,0)</f>
        <v>809480</v>
      </c>
      <c r="P6" s="10"/>
      <c r="Q6" s="13" t="s">
        <v>147</v>
      </c>
      <c r="R6" s="13" t="s">
        <v>180</v>
      </c>
      <c r="S6" s="12">
        <v>0.25</v>
      </c>
      <c r="T6" s="10">
        <f>O6*25%</f>
        <v>202370</v>
      </c>
      <c r="U6" s="22" t="s">
        <v>61</v>
      </c>
      <c r="V6" s="22"/>
      <c r="W6" s="12"/>
      <c r="X6" s="10"/>
      <c r="Y6" s="37"/>
      <c r="Z6" s="12"/>
      <c r="AA6" s="10"/>
      <c r="AB6" s="60"/>
      <c r="AC6" s="12"/>
      <c r="AD6" s="10"/>
      <c r="AE6" s="60"/>
    </row>
    <row r="7" spans="1:31">
      <c r="A7" s="4">
        <f t="shared" si="1"/>
        <v>3</v>
      </c>
      <c r="B7" s="5" t="s">
        <v>89</v>
      </c>
      <c r="C7" s="31">
        <v>1</v>
      </c>
      <c r="D7" s="31"/>
      <c r="E7" s="31" t="s">
        <v>54</v>
      </c>
      <c r="F7" s="31" t="s">
        <v>54</v>
      </c>
      <c r="G7" s="5" t="s">
        <v>55</v>
      </c>
      <c r="H7" s="5" t="s">
        <v>56</v>
      </c>
      <c r="I7" s="5" t="s">
        <v>57</v>
      </c>
      <c r="J7" s="10">
        <v>350</v>
      </c>
      <c r="K7" s="40">
        <v>420</v>
      </c>
      <c r="L7" s="41">
        <f t="shared" ref="L7:L13" si="3">M7*100/118</f>
        <v>1694.9152542372881</v>
      </c>
      <c r="M7" s="45">
        <v>2000</v>
      </c>
      <c r="N7" s="45"/>
      <c r="O7" s="10">
        <f t="shared" si="2"/>
        <v>840000</v>
      </c>
      <c r="P7" s="10"/>
      <c r="Q7" s="13" t="s">
        <v>147</v>
      </c>
      <c r="R7" s="13" t="s">
        <v>181</v>
      </c>
      <c r="S7" s="12">
        <v>0.5</v>
      </c>
      <c r="T7" s="10">
        <f>O7*50%</f>
        <v>420000</v>
      </c>
      <c r="U7" s="22" t="s">
        <v>61</v>
      </c>
      <c r="V7" s="22"/>
      <c r="W7" s="12"/>
      <c r="X7" s="10"/>
      <c r="Y7" s="37"/>
      <c r="Z7" s="10"/>
      <c r="AA7" s="10"/>
      <c r="AB7" s="10"/>
      <c r="AC7" s="10"/>
      <c r="AD7" s="10"/>
      <c r="AE7" s="10"/>
    </row>
    <row r="8" spans="1:31">
      <c r="A8" s="4">
        <f t="shared" si="1"/>
        <v>4</v>
      </c>
      <c r="B8" s="5" t="s">
        <v>91</v>
      </c>
      <c r="C8" s="31">
        <v>1</v>
      </c>
      <c r="D8" s="31" t="s">
        <v>54</v>
      </c>
      <c r="E8" s="31" t="s">
        <v>54</v>
      </c>
      <c r="F8" s="31" t="s">
        <v>54</v>
      </c>
      <c r="G8" s="5" t="s">
        <v>55</v>
      </c>
      <c r="H8" s="5" t="s">
        <v>92</v>
      </c>
      <c r="I8" s="5" t="s">
        <v>57</v>
      </c>
      <c r="J8" s="10">
        <v>800</v>
      </c>
      <c r="K8" s="47">
        <v>796</v>
      </c>
      <c r="L8" s="41">
        <f t="shared" si="3"/>
        <v>1016.9491525423729</v>
      </c>
      <c r="M8" s="45">
        <v>1200</v>
      </c>
      <c r="N8" s="45"/>
      <c r="O8" s="10">
        <f t="shared" si="2"/>
        <v>955200</v>
      </c>
      <c r="P8" s="10"/>
      <c r="Q8" s="13" t="s">
        <v>147</v>
      </c>
      <c r="R8" s="13" t="s">
        <v>183</v>
      </c>
      <c r="S8" s="46">
        <v>0.33329999999999999</v>
      </c>
      <c r="T8" s="10">
        <f>O8/3</f>
        <v>318400</v>
      </c>
      <c r="U8" s="22" t="s">
        <v>61</v>
      </c>
      <c r="V8" s="22"/>
      <c r="W8" s="12"/>
      <c r="X8" s="10"/>
      <c r="Y8" s="37"/>
      <c r="Z8" s="12"/>
      <c r="AA8" s="10"/>
      <c r="AB8" s="22"/>
      <c r="AC8" s="10"/>
      <c r="AD8" s="10"/>
      <c r="AE8" s="10"/>
    </row>
    <row r="9" spans="1:31">
      <c r="A9" s="4">
        <f>A8+1</f>
        <v>5</v>
      </c>
      <c r="B9" s="5" t="s">
        <v>59</v>
      </c>
      <c r="C9" s="31">
        <v>1</v>
      </c>
      <c r="D9" s="31"/>
      <c r="E9" s="31" t="s">
        <v>53</v>
      </c>
      <c r="F9" s="31" t="s">
        <v>54</v>
      </c>
      <c r="G9" s="5" t="s">
        <v>55</v>
      </c>
      <c r="H9" s="5" t="s">
        <v>60</v>
      </c>
      <c r="I9" s="5" t="s">
        <v>57</v>
      </c>
      <c r="J9" s="5">
        <v>540</v>
      </c>
      <c r="K9" s="11">
        <v>531</v>
      </c>
      <c r="L9" s="41">
        <f t="shared" si="3"/>
        <v>2700</v>
      </c>
      <c r="M9" s="45">
        <v>3186</v>
      </c>
      <c r="N9" s="45"/>
      <c r="O9" s="10">
        <f t="shared" si="2"/>
        <v>1691766</v>
      </c>
      <c r="P9" s="10">
        <v>0</v>
      </c>
      <c r="Q9" s="13" t="s">
        <v>147</v>
      </c>
      <c r="R9" s="13" t="s">
        <v>182</v>
      </c>
      <c r="S9" s="12">
        <v>0.25</v>
      </c>
      <c r="T9" s="10">
        <f>O9*25%</f>
        <v>422941.5</v>
      </c>
      <c r="U9" s="22" t="s">
        <v>61</v>
      </c>
      <c r="V9" s="13"/>
      <c r="W9" s="12"/>
      <c r="X9" s="10"/>
      <c r="Y9" s="23"/>
      <c r="Z9" s="12"/>
      <c r="AA9" s="10"/>
      <c r="AB9" s="23"/>
      <c r="AC9" s="12"/>
      <c r="AD9" s="10"/>
      <c r="AE9" s="23"/>
    </row>
    <row r="10" spans="1:31">
      <c r="A10" s="39">
        <v>6</v>
      </c>
      <c r="B10" s="40" t="s">
        <v>117</v>
      </c>
      <c r="C10" s="31">
        <v>1</v>
      </c>
      <c r="D10" s="31" t="s">
        <v>54</v>
      </c>
      <c r="E10" s="31" t="s">
        <v>54</v>
      </c>
      <c r="F10" s="31" t="s">
        <v>54</v>
      </c>
      <c r="G10" s="5" t="s">
        <v>55</v>
      </c>
      <c r="H10" s="5" t="s">
        <v>118</v>
      </c>
      <c r="I10" s="5" t="s">
        <v>119</v>
      </c>
      <c r="J10" s="5">
        <v>40</v>
      </c>
      <c r="K10" s="5">
        <v>35</v>
      </c>
      <c r="L10" s="41">
        <f t="shared" si="3"/>
        <v>1016.9491525423729</v>
      </c>
      <c r="M10" s="44">
        <v>1200</v>
      </c>
      <c r="N10" s="44"/>
      <c r="O10" s="10">
        <f t="shared" si="2"/>
        <v>42000</v>
      </c>
      <c r="P10" s="5">
        <v>18600</v>
      </c>
      <c r="Q10" s="13" t="s">
        <v>147</v>
      </c>
      <c r="R10" s="13" t="s">
        <v>184</v>
      </c>
      <c r="S10" s="12">
        <v>1</v>
      </c>
      <c r="T10" s="13">
        <f>O10*S10</f>
        <v>42000</v>
      </c>
      <c r="U10" s="22" t="s">
        <v>61</v>
      </c>
      <c r="V10" s="22"/>
      <c r="W10" s="13"/>
      <c r="X10" s="13"/>
      <c r="Y10" s="13"/>
      <c r="Z10" s="13"/>
      <c r="AA10" s="13"/>
      <c r="AB10" s="13"/>
      <c r="AC10" s="13"/>
      <c r="AD10" s="13"/>
      <c r="AE10" s="13"/>
    </row>
    <row r="11" spans="1:31">
      <c r="A11" s="4">
        <v>7</v>
      </c>
      <c r="B11" s="5" t="s">
        <v>83</v>
      </c>
      <c r="C11" s="31">
        <v>1</v>
      </c>
      <c r="D11" s="31"/>
      <c r="E11" s="31" t="s">
        <v>53</v>
      </c>
      <c r="F11" s="31" t="s">
        <v>54</v>
      </c>
      <c r="G11" s="5" t="s">
        <v>55</v>
      </c>
      <c r="H11" s="5" t="s">
        <v>56</v>
      </c>
      <c r="I11" s="5" t="s">
        <v>57</v>
      </c>
      <c r="J11" s="10">
        <v>430</v>
      </c>
      <c r="K11" s="11">
        <v>450</v>
      </c>
      <c r="L11" s="41">
        <f t="shared" si="3"/>
        <v>1754.2372881355932</v>
      </c>
      <c r="M11" s="45">
        <v>2070</v>
      </c>
      <c r="N11" s="45"/>
      <c r="O11" s="10">
        <f t="shared" si="2"/>
        <v>931500</v>
      </c>
      <c r="P11" s="10"/>
      <c r="Q11" s="13" t="s">
        <v>147</v>
      </c>
      <c r="R11" s="13" t="s">
        <v>185</v>
      </c>
      <c r="S11" s="12">
        <v>0.25</v>
      </c>
      <c r="T11" s="13">
        <f>O11*S11</f>
        <v>232875</v>
      </c>
      <c r="U11" s="22" t="s">
        <v>61</v>
      </c>
      <c r="V11" s="13" t="s">
        <v>197</v>
      </c>
      <c r="W11" s="12">
        <v>0.25</v>
      </c>
      <c r="X11" s="13">
        <f>O11*W11</f>
        <v>232875</v>
      </c>
      <c r="Y11" s="35" t="s">
        <v>66</v>
      </c>
      <c r="Z11" s="12"/>
      <c r="AA11" s="13"/>
      <c r="AB11" s="60"/>
      <c r="AC11" s="12"/>
      <c r="AD11" s="13"/>
      <c r="AE11" s="60"/>
    </row>
    <row r="12" spans="1:31">
      <c r="A12" s="4">
        <v>8</v>
      </c>
      <c r="B12" s="5" t="s">
        <v>187</v>
      </c>
      <c r="C12" s="31"/>
      <c r="D12" s="31"/>
      <c r="E12" s="31"/>
      <c r="F12" s="31"/>
      <c r="G12" s="5"/>
      <c r="H12" s="5"/>
      <c r="I12" s="5"/>
      <c r="J12" s="10"/>
      <c r="K12" s="11">
        <v>732</v>
      </c>
      <c r="L12" s="41">
        <f t="shared" si="3"/>
        <v>1016.9491525423729</v>
      </c>
      <c r="M12" s="45">
        <v>1200</v>
      </c>
      <c r="N12" s="45"/>
      <c r="O12" s="10">
        <f t="shared" si="2"/>
        <v>878400</v>
      </c>
      <c r="P12" s="10"/>
      <c r="Q12" s="13" t="s">
        <v>147</v>
      </c>
      <c r="R12" s="13" t="s">
        <v>188</v>
      </c>
      <c r="S12" s="12">
        <v>0.25</v>
      </c>
      <c r="T12" s="13">
        <f>O12*S12</f>
        <v>219600</v>
      </c>
      <c r="U12" s="35" t="s">
        <v>66</v>
      </c>
      <c r="V12" s="13" t="s">
        <v>223</v>
      </c>
      <c r="W12" s="12">
        <v>0.25</v>
      </c>
      <c r="X12" s="13">
        <f>O12*W12</f>
        <v>219600</v>
      </c>
      <c r="Y12" s="35" t="s">
        <v>70</v>
      </c>
      <c r="Z12" s="12"/>
      <c r="AA12" s="13"/>
      <c r="AB12" s="60"/>
      <c r="AC12" s="12"/>
      <c r="AD12" s="13"/>
      <c r="AE12" s="60"/>
    </row>
    <row r="13" spans="1:31">
      <c r="A13" s="39">
        <v>9</v>
      </c>
      <c r="B13" s="61" t="s">
        <v>114</v>
      </c>
      <c r="C13" s="31">
        <v>1</v>
      </c>
      <c r="D13" s="31" t="s">
        <v>115</v>
      </c>
      <c r="E13" s="31" t="s">
        <v>115</v>
      </c>
      <c r="F13" s="31" t="s">
        <v>54</v>
      </c>
      <c r="G13" s="5" t="s">
        <v>55</v>
      </c>
      <c r="H13" s="5" t="s">
        <v>116</v>
      </c>
      <c r="I13" s="5" t="s">
        <v>107</v>
      </c>
      <c r="J13" s="5"/>
      <c r="K13" s="5">
        <v>270</v>
      </c>
      <c r="L13" s="41">
        <f t="shared" si="3"/>
        <v>2754.2372881355932</v>
      </c>
      <c r="M13" s="45">
        <v>3250</v>
      </c>
      <c r="N13" s="45"/>
      <c r="O13" s="10">
        <f t="shared" si="2"/>
        <v>877500</v>
      </c>
      <c r="P13" s="5"/>
      <c r="Q13" s="13" t="s">
        <v>147</v>
      </c>
      <c r="R13" s="13" t="s">
        <v>186</v>
      </c>
      <c r="S13" s="12">
        <v>1</v>
      </c>
      <c r="T13" s="13">
        <f>O13</f>
        <v>877500</v>
      </c>
      <c r="U13" s="22" t="s">
        <v>61</v>
      </c>
      <c r="V13" s="22"/>
      <c r="W13" s="13"/>
      <c r="X13" s="13"/>
      <c r="Y13" s="13"/>
      <c r="Z13" s="13"/>
      <c r="AA13" s="13"/>
      <c r="AB13" s="13"/>
      <c r="AC13" s="13"/>
      <c r="AD13" s="13"/>
      <c r="AE13" s="13"/>
    </row>
    <row r="14" spans="1:31">
      <c r="A14" s="39">
        <v>10</v>
      </c>
      <c r="B14" s="61" t="s">
        <v>74</v>
      </c>
      <c r="C14" s="31"/>
      <c r="D14" s="31"/>
      <c r="E14" s="31"/>
      <c r="F14" s="31"/>
      <c r="G14" s="5"/>
      <c r="H14" s="5"/>
      <c r="I14" s="5"/>
      <c r="J14" s="5"/>
      <c r="K14" s="5">
        <v>960</v>
      </c>
      <c r="L14" s="41">
        <f>M14*100/118</f>
        <v>1864.406779661017</v>
      </c>
      <c r="M14" s="45">
        <v>2200</v>
      </c>
      <c r="N14" s="45"/>
      <c r="O14" s="10">
        <f t="shared" si="2"/>
        <v>2112000</v>
      </c>
      <c r="P14" s="5"/>
      <c r="Q14" s="13" t="s">
        <v>147</v>
      </c>
      <c r="R14" s="13" t="s">
        <v>189</v>
      </c>
      <c r="S14" s="12">
        <v>0.25</v>
      </c>
      <c r="T14" s="13">
        <f>O14*S14</f>
        <v>528000</v>
      </c>
      <c r="U14" s="35" t="s">
        <v>66</v>
      </c>
      <c r="V14" s="35"/>
      <c r="W14" s="13"/>
      <c r="X14" s="13"/>
      <c r="Y14" s="13"/>
      <c r="Z14" s="13"/>
      <c r="AA14" s="13"/>
      <c r="AB14" s="13"/>
      <c r="AC14" s="13"/>
      <c r="AD14" s="13"/>
      <c r="AE14" s="13"/>
    </row>
    <row r="15" spans="1:31">
      <c r="A15" s="4">
        <v>11</v>
      </c>
      <c r="B15" s="5" t="s">
        <v>148</v>
      </c>
      <c r="C15" s="31">
        <v>1</v>
      </c>
      <c r="D15" s="31"/>
      <c r="E15" s="31"/>
      <c r="F15" s="31"/>
      <c r="G15" s="5"/>
      <c r="H15" s="5" t="s">
        <v>56</v>
      </c>
      <c r="I15" s="5" t="s">
        <v>57</v>
      </c>
      <c r="J15" s="10"/>
      <c r="K15" s="5">
        <v>22</v>
      </c>
      <c r="L15" s="41">
        <f t="shared" ref="L15:L25" si="4">M15*100/118</f>
        <v>1694.9152542372881</v>
      </c>
      <c r="M15" s="45">
        <v>2000</v>
      </c>
      <c r="N15" s="45"/>
      <c r="O15" s="10">
        <f t="shared" si="2"/>
        <v>44000</v>
      </c>
      <c r="P15" s="10"/>
      <c r="Q15" s="13" t="s">
        <v>147</v>
      </c>
      <c r="R15" s="13" t="s">
        <v>191</v>
      </c>
      <c r="S15" s="12">
        <v>1</v>
      </c>
      <c r="T15" s="13">
        <f>O15*S15</f>
        <v>44000</v>
      </c>
      <c r="U15" s="35" t="s">
        <v>66</v>
      </c>
      <c r="V15" s="35"/>
      <c r="W15" s="13"/>
      <c r="X15" s="13"/>
      <c r="Y15" s="13"/>
      <c r="Z15" s="13"/>
      <c r="AA15" s="13"/>
      <c r="AB15" s="13"/>
      <c r="AC15" s="13"/>
      <c r="AD15" s="13"/>
      <c r="AE15" s="13"/>
    </row>
    <row r="16" spans="1:31">
      <c r="A16" s="4">
        <v>12</v>
      </c>
      <c r="B16" s="5" t="s">
        <v>102</v>
      </c>
      <c r="C16" s="31"/>
      <c r="D16" s="31"/>
      <c r="E16" s="31"/>
      <c r="F16" s="31"/>
      <c r="G16" s="5"/>
      <c r="H16" s="5"/>
      <c r="I16" s="5"/>
      <c r="J16" s="10"/>
      <c r="K16" s="5">
        <v>342</v>
      </c>
      <c r="L16" s="41">
        <f t="shared" si="4"/>
        <v>1220.3389830508474</v>
      </c>
      <c r="M16" s="45">
        <v>1440</v>
      </c>
      <c r="N16" s="45"/>
      <c r="O16" s="10">
        <f t="shared" si="2"/>
        <v>492480</v>
      </c>
      <c r="P16" s="10"/>
      <c r="Q16" s="13" t="s">
        <v>147</v>
      </c>
      <c r="R16" s="13" t="s">
        <v>190</v>
      </c>
      <c r="S16" s="12">
        <v>0.25</v>
      </c>
      <c r="T16" s="13">
        <f>O16*S16</f>
        <v>123120</v>
      </c>
      <c r="U16" s="35" t="s">
        <v>66</v>
      </c>
      <c r="V16" s="35"/>
      <c r="W16" s="13"/>
      <c r="X16" s="13"/>
      <c r="Y16" s="13"/>
      <c r="Z16" s="13"/>
      <c r="AA16" s="13"/>
      <c r="AB16" s="13"/>
      <c r="AC16" s="13"/>
      <c r="AD16" s="13"/>
      <c r="AE16" s="13"/>
    </row>
    <row r="17" spans="1:31">
      <c r="A17" s="39">
        <v>13</v>
      </c>
      <c r="B17" s="5" t="s">
        <v>158</v>
      </c>
      <c r="C17" s="31">
        <v>1</v>
      </c>
      <c r="D17" s="31"/>
      <c r="E17" s="31" t="s">
        <v>53</v>
      </c>
      <c r="F17" s="31"/>
      <c r="G17" s="5" t="s">
        <v>153</v>
      </c>
      <c r="H17" s="5" t="s">
        <v>56</v>
      </c>
      <c r="I17" s="5" t="s">
        <v>57</v>
      </c>
      <c r="J17" s="5"/>
      <c r="K17" s="5">
        <v>49</v>
      </c>
      <c r="L17" s="41">
        <f t="shared" si="4"/>
        <v>2500</v>
      </c>
      <c r="M17" s="5">
        <v>2950</v>
      </c>
      <c r="N17" s="5"/>
      <c r="O17" s="10">
        <f t="shared" si="2"/>
        <v>144550</v>
      </c>
      <c r="P17" s="5"/>
      <c r="Q17" s="13" t="s">
        <v>147</v>
      </c>
      <c r="R17" s="13" t="s">
        <v>192</v>
      </c>
      <c r="S17" s="12">
        <v>0.25</v>
      </c>
      <c r="T17" s="10">
        <f>O17*25%</f>
        <v>36137.5</v>
      </c>
      <c r="U17" s="35" t="s">
        <v>66</v>
      </c>
      <c r="V17" s="35"/>
      <c r="W17" s="12"/>
      <c r="X17" s="10"/>
      <c r="Y17" s="35"/>
      <c r="Z17" s="12"/>
      <c r="AA17" s="10"/>
      <c r="AB17" s="23"/>
      <c r="AC17" s="12"/>
      <c r="AD17" s="10"/>
      <c r="AE17" s="23"/>
    </row>
    <row r="18" spans="1:31">
      <c r="A18" s="4">
        <v>14</v>
      </c>
      <c r="B18" s="40" t="s">
        <v>231</v>
      </c>
      <c r="C18" s="31">
        <v>1</v>
      </c>
      <c r="D18" s="31" t="s">
        <v>165</v>
      </c>
      <c r="E18" s="31" t="s">
        <v>165</v>
      </c>
      <c r="F18" s="31" t="s">
        <v>164</v>
      </c>
      <c r="G18" s="82"/>
      <c r="H18" s="5" t="s">
        <v>163</v>
      </c>
      <c r="I18" s="5" t="s">
        <v>162</v>
      </c>
      <c r="J18" s="5"/>
      <c r="K18" s="8">
        <v>120</v>
      </c>
      <c r="L18" s="41">
        <f t="shared" si="4"/>
        <v>1271.1864406779662</v>
      </c>
      <c r="M18" s="41">
        <v>1500</v>
      </c>
      <c r="N18" s="41"/>
      <c r="O18" s="10">
        <f t="shared" ref="O18:O25" si="5">IFERROR(K18*M18,0)</f>
        <v>180000</v>
      </c>
      <c r="P18" s="5">
        <v>20000</v>
      </c>
      <c r="Q18" s="13" t="s">
        <v>147</v>
      </c>
      <c r="R18" s="13" t="s">
        <v>193</v>
      </c>
      <c r="S18" s="12">
        <v>0.25</v>
      </c>
      <c r="T18" s="10">
        <f t="shared" ref="T18:T21" si="6">O18*S18</f>
        <v>45000</v>
      </c>
      <c r="U18" s="35" t="s">
        <v>66</v>
      </c>
      <c r="V18" s="13" t="s">
        <v>194</v>
      </c>
      <c r="W18" s="12">
        <v>0.25</v>
      </c>
      <c r="X18" s="10">
        <f>O18*W18</f>
        <v>45000</v>
      </c>
      <c r="Y18" s="35" t="s">
        <v>66</v>
      </c>
      <c r="Z18" s="12"/>
      <c r="AA18" s="10"/>
      <c r="AB18" s="53"/>
      <c r="AC18" s="12"/>
      <c r="AD18" s="10"/>
      <c r="AE18" s="53"/>
    </row>
    <row r="19" spans="1:31">
      <c r="A19" s="39">
        <v>15</v>
      </c>
      <c r="B19" s="40" t="s">
        <v>91</v>
      </c>
      <c r="C19" s="31">
        <v>1</v>
      </c>
      <c r="D19" s="31" t="s">
        <v>165</v>
      </c>
      <c r="E19" s="31" t="s">
        <v>165</v>
      </c>
      <c r="F19" s="31" t="s">
        <v>164</v>
      </c>
      <c r="G19" s="82"/>
      <c r="H19" s="5" t="s">
        <v>163</v>
      </c>
      <c r="I19" s="5" t="s">
        <v>162</v>
      </c>
      <c r="J19" s="5"/>
      <c r="K19" s="8">
        <v>796</v>
      </c>
      <c r="L19" s="41">
        <f t="shared" si="4"/>
        <v>1016.9491525423729</v>
      </c>
      <c r="M19" s="41">
        <v>1200</v>
      </c>
      <c r="N19" s="41"/>
      <c r="O19" s="10">
        <f t="shared" si="5"/>
        <v>955200</v>
      </c>
      <c r="P19" s="5"/>
      <c r="Q19" s="13" t="s">
        <v>147</v>
      </c>
      <c r="R19" s="13" t="s">
        <v>195</v>
      </c>
      <c r="S19" s="12">
        <v>0.3333333</v>
      </c>
      <c r="T19" s="10">
        <f t="shared" si="6"/>
        <v>318399.96815999999</v>
      </c>
      <c r="U19" s="35" t="s">
        <v>66</v>
      </c>
      <c r="V19" s="35"/>
      <c r="W19" s="40"/>
      <c r="X19" s="40"/>
      <c r="Y19" s="40"/>
      <c r="Z19" s="40"/>
      <c r="AA19" s="40"/>
      <c r="AB19" s="40"/>
      <c r="AC19" s="40"/>
      <c r="AD19" s="40"/>
      <c r="AE19" s="40"/>
    </row>
    <row r="20" spans="1:31">
      <c r="A20" s="39">
        <v>16</v>
      </c>
      <c r="B20" s="40" t="s">
        <v>174</v>
      </c>
      <c r="C20" s="31">
        <v>1</v>
      </c>
      <c r="D20" s="31" t="s">
        <v>165</v>
      </c>
      <c r="E20" s="31" t="s">
        <v>165</v>
      </c>
      <c r="F20" s="31" t="s">
        <v>164</v>
      </c>
      <c r="G20" s="82"/>
      <c r="H20" s="5" t="s">
        <v>163</v>
      </c>
      <c r="I20" s="5" t="s">
        <v>162</v>
      </c>
      <c r="J20" s="5"/>
      <c r="K20" s="8">
        <v>343</v>
      </c>
      <c r="L20" s="41">
        <f t="shared" si="4"/>
        <v>2000</v>
      </c>
      <c r="M20" s="41">
        <v>2360</v>
      </c>
      <c r="N20" s="41"/>
      <c r="O20" s="10">
        <f t="shared" si="5"/>
        <v>809480</v>
      </c>
      <c r="P20" s="5"/>
      <c r="Q20" s="13" t="s">
        <v>147</v>
      </c>
      <c r="R20" s="13" t="s">
        <v>196</v>
      </c>
      <c r="S20" s="12">
        <v>0.25</v>
      </c>
      <c r="T20" s="10">
        <f t="shared" si="6"/>
        <v>202370</v>
      </c>
      <c r="U20" s="35" t="s">
        <v>66</v>
      </c>
      <c r="V20" s="35"/>
      <c r="W20" s="40"/>
      <c r="X20" s="40"/>
      <c r="Y20" s="40"/>
      <c r="Z20" s="40"/>
      <c r="AA20" s="40"/>
      <c r="AB20" s="40"/>
      <c r="AC20" s="40"/>
      <c r="AD20" s="40"/>
      <c r="AE20" s="40"/>
    </row>
    <row r="21" spans="1:31">
      <c r="A21" s="39">
        <v>17</v>
      </c>
      <c r="B21" s="40" t="s">
        <v>175</v>
      </c>
      <c r="C21" s="31">
        <v>1</v>
      </c>
      <c r="D21" s="31" t="s">
        <v>165</v>
      </c>
      <c r="E21" s="31" t="s">
        <v>165</v>
      </c>
      <c r="F21" s="31" t="s">
        <v>164</v>
      </c>
      <c r="G21" s="82"/>
      <c r="H21" s="5" t="s">
        <v>163</v>
      </c>
      <c r="I21" s="5" t="s">
        <v>162</v>
      </c>
      <c r="J21" s="5"/>
      <c r="K21" s="8">
        <v>363</v>
      </c>
      <c r="L21" s="41">
        <f t="shared" si="4"/>
        <v>1800</v>
      </c>
      <c r="M21" s="41">
        <v>2124</v>
      </c>
      <c r="N21" s="41"/>
      <c r="O21" s="10">
        <f t="shared" si="5"/>
        <v>771012</v>
      </c>
      <c r="P21" s="5"/>
      <c r="Q21" s="13" t="s">
        <v>147</v>
      </c>
      <c r="R21" s="13" t="s">
        <v>198</v>
      </c>
      <c r="S21" s="12">
        <v>0.4</v>
      </c>
      <c r="T21" s="10">
        <f t="shared" si="6"/>
        <v>308404.8</v>
      </c>
      <c r="U21" s="35" t="s">
        <v>66</v>
      </c>
      <c r="V21" s="35"/>
      <c r="W21" s="40"/>
      <c r="X21" s="40"/>
      <c r="Y21" s="40"/>
      <c r="Z21" s="40"/>
      <c r="AA21" s="40"/>
      <c r="AB21" s="40"/>
      <c r="AC21" s="40"/>
      <c r="AD21" s="40"/>
      <c r="AE21" s="40"/>
    </row>
    <row r="22" spans="1:31">
      <c r="A22" s="39">
        <v>18</v>
      </c>
      <c r="B22" s="40" t="s">
        <v>176</v>
      </c>
      <c r="C22" s="31">
        <v>1</v>
      </c>
      <c r="D22" s="31" t="s">
        <v>165</v>
      </c>
      <c r="E22" s="31" t="s">
        <v>165</v>
      </c>
      <c r="F22" s="31" t="s">
        <v>164</v>
      </c>
      <c r="G22" s="82"/>
      <c r="H22" s="5" t="s">
        <v>163</v>
      </c>
      <c r="I22" s="5" t="s">
        <v>162</v>
      </c>
      <c r="J22" s="5"/>
      <c r="K22" s="8">
        <v>438</v>
      </c>
      <c r="L22" s="41">
        <f t="shared" si="4"/>
        <v>1016.9491525423729</v>
      </c>
      <c r="M22" s="41">
        <v>1200</v>
      </c>
      <c r="N22" s="41"/>
      <c r="O22" s="10">
        <f t="shared" si="5"/>
        <v>525600</v>
      </c>
      <c r="P22" s="5"/>
      <c r="Q22" s="13" t="s">
        <v>147</v>
      </c>
      <c r="R22" s="13" t="s">
        <v>199</v>
      </c>
      <c r="S22" s="12">
        <v>0.25</v>
      </c>
      <c r="T22" s="10">
        <f>O22*S22+1</f>
        <v>131401</v>
      </c>
      <c r="U22" s="35" t="s">
        <v>66</v>
      </c>
      <c r="V22" s="35"/>
      <c r="W22" s="40"/>
      <c r="X22" s="40"/>
      <c r="Y22" s="40"/>
      <c r="Z22" s="40"/>
      <c r="AA22" s="40"/>
      <c r="AB22" s="40"/>
      <c r="AC22" s="40"/>
      <c r="AD22" s="40"/>
      <c r="AE22" s="40"/>
    </row>
    <row r="23" spans="1:31">
      <c r="A23" s="4">
        <v>19</v>
      </c>
      <c r="B23" s="40" t="s">
        <v>177</v>
      </c>
      <c r="C23" s="31">
        <v>1</v>
      </c>
      <c r="D23" s="31" t="s">
        <v>165</v>
      </c>
      <c r="E23" s="31" t="s">
        <v>165</v>
      </c>
      <c r="F23" s="31" t="s">
        <v>164</v>
      </c>
      <c r="G23" s="82"/>
      <c r="H23" s="5" t="s">
        <v>163</v>
      </c>
      <c r="I23" s="5" t="s">
        <v>162</v>
      </c>
      <c r="J23" s="5"/>
      <c r="K23" s="8">
        <v>559</v>
      </c>
      <c r="L23" s="41">
        <f t="shared" si="4"/>
        <v>2500</v>
      </c>
      <c r="M23" s="41">
        <v>2950</v>
      </c>
      <c r="N23" s="41"/>
      <c r="O23" s="10">
        <f t="shared" si="5"/>
        <v>1649050</v>
      </c>
      <c r="P23" s="5"/>
      <c r="Q23" s="13" t="s">
        <v>147</v>
      </c>
      <c r="R23" s="13" t="s">
        <v>200</v>
      </c>
      <c r="S23" s="12">
        <v>0.25</v>
      </c>
      <c r="T23" s="10">
        <f>O23*S23</f>
        <v>412262.5</v>
      </c>
      <c r="U23" s="35" t="s">
        <v>66</v>
      </c>
      <c r="V23" s="35"/>
      <c r="W23" s="40"/>
      <c r="X23" s="40"/>
      <c r="Y23" s="40"/>
      <c r="Z23" s="40"/>
      <c r="AA23" s="40"/>
      <c r="AB23" s="40"/>
      <c r="AC23" s="40"/>
      <c r="AD23" s="40"/>
      <c r="AE23" s="40"/>
    </row>
    <row r="24" spans="1:31">
      <c r="A24" s="39">
        <v>20</v>
      </c>
      <c r="B24" s="40" t="s">
        <v>201</v>
      </c>
      <c r="C24" s="31">
        <v>1</v>
      </c>
      <c r="D24" s="31" t="s">
        <v>165</v>
      </c>
      <c r="E24" s="31" t="s">
        <v>165</v>
      </c>
      <c r="F24" s="31" t="s">
        <v>164</v>
      </c>
      <c r="G24" s="82"/>
      <c r="H24" s="5" t="s">
        <v>163</v>
      </c>
      <c r="I24" s="5" t="s">
        <v>162</v>
      </c>
      <c r="J24" s="5"/>
      <c r="K24" s="8">
        <v>162</v>
      </c>
      <c r="L24" s="41">
        <f t="shared" si="4"/>
        <v>1016.9491525423729</v>
      </c>
      <c r="M24" s="41">
        <v>1200</v>
      </c>
      <c r="N24" s="41"/>
      <c r="O24" s="10">
        <f t="shared" si="5"/>
        <v>194400</v>
      </c>
      <c r="P24" s="5"/>
      <c r="Q24" s="13" t="s">
        <v>147</v>
      </c>
      <c r="R24" s="13" t="s">
        <v>225</v>
      </c>
      <c r="S24" s="12">
        <v>1</v>
      </c>
      <c r="T24" s="10">
        <f>O24*S24</f>
        <v>194400</v>
      </c>
      <c r="U24" s="35" t="s">
        <v>61</v>
      </c>
      <c r="V24" s="35"/>
      <c r="W24" s="40"/>
      <c r="X24" s="40"/>
      <c r="Y24" s="40"/>
      <c r="Z24" s="40"/>
      <c r="AA24" s="40"/>
      <c r="AB24" s="40"/>
      <c r="AC24" s="40"/>
      <c r="AD24" s="40"/>
      <c r="AE24" s="40"/>
    </row>
    <row r="25" spans="1:31">
      <c r="A25" s="39">
        <v>21</v>
      </c>
      <c r="B25" s="40" t="s">
        <v>228</v>
      </c>
      <c r="C25" s="31">
        <v>1</v>
      </c>
      <c r="D25" s="31" t="s">
        <v>54</v>
      </c>
      <c r="E25" s="31" t="s">
        <v>54</v>
      </c>
      <c r="F25" s="31" t="s">
        <v>54</v>
      </c>
      <c r="G25" s="5" t="s">
        <v>229</v>
      </c>
      <c r="H25" s="5" t="s">
        <v>56</v>
      </c>
      <c r="I25" s="5" t="s">
        <v>57</v>
      </c>
      <c r="J25" s="5">
        <v>80</v>
      </c>
      <c r="K25" s="5">
        <v>69</v>
      </c>
      <c r="L25" s="41">
        <f t="shared" si="4"/>
        <v>847.45762711864404</v>
      </c>
      <c r="M25" s="41">
        <v>1000</v>
      </c>
      <c r="N25" s="10"/>
      <c r="O25" s="10">
        <f t="shared" si="5"/>
        <v>69000</v>
      </c>
      <c r="P25" s="5"/>
      <c r="Q25" s="13" t="s">
        <v>147</v>
      </c>
      <c r="R25" s="13" t="s">
        <v>252</v>
      </c>
      <c r="S25" s="12">
        <v>0.5</v>
      </c>
      <c r="T25" s="10">
        <f>O25*S25</f>
        <v>34500</v>
      </c>
      <c r="U25" s="35" t="s">
        <v>58</v>
      </c>
      <c r="V25" s="35"/>
      <c r="W25" s="40"/>
      <c r="X25" s="40"/>
      <c r="Y25" s="40"/>
      <c r="Z25" s="40"/>
      <c r="AA25" s="40"/>
      <c r="AB25" s="40"/>
      <c r="AC25" s="40"/>
      <c r="AD25" s="40"/>
      <c r="AE25" s="40"/>
    </row>
  </sheetData>
  <mergeCells count="4">
    <mergeCell ref="S3:U3"/>
    <mergeCell ref="W3:Y3"/>
    <mergeCell ref="Z3:AB3"/>
    <mergeCell ref="AC3:AE3"/>
  </mergeCells>
  <conditionalFormatting sqref="B5">
    <cfRule type="duplicateValues" dxfId="15" priority="8"/>
  </conditionalFormatting>
  <conditionalFormatting sqref="B6">
    <cfRule type="duplicateValues" dxfId="14" priority="7"/>
  </conditionalFormatting>
  <conditionalFormatting sqref="B7">
    <cfRule type="duplicateValues" dxfId="13" priority="6"/>
  </conditionalFormatting>
  <conditionalFormatting sqref="B8">
    <cfRule type="duplicateValues" dxfId="12" priority="5"/>
  </conditionalFormatting>
  <conditionalFormatting sqref="B9">
    <cfRule type="duplicateValues" dxfId="11" priority="4"/>
  </conditionalFormatting>
  <conditionalFormatting sqref="B11:B12">
    <cfRule type="duplicateValues" dxfId="10" priority="3"/>
  </conditionalFormatting>
  <conditionalFormatting sqref="B15:B16">
    <cfRule type="duplicateValues" dxfId="9" priority="11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7BA5E-1F9A-4796-BB42-B0F7D32F8E41}">
  <dimension ref="B3:G10"/>
  <sheetViews>
    <sheetView workbookViewId="0">
      <selection activeCell="B8" sqref="B8:E10"/>
    </sheetView>
  </sheetViews>
  <sheetFormatPr defaultRowHeight="15"/>
  <cols>
    <col min="2" max="2" width="10.140625" bestFit="1" customWidth="1"/>
    <col min="3" max="3" width="16.140625" bestFit="1" customWidth="1"/>
    <col min="4" max="4" width="12.28515625" bestFit="1" customWidth="1"/>
    <col min="5" max="5" width="19.42578125" bestFit="1" customWidth="1"/>
    <col min="6" max="6" width="10.7109375" bestFit="1" customWidth="1"/>
    <col min="7" max="7" width="11.140625" bestFit="1" customWidth="1"/>
  </cols>
  <sheetData>
    <row r="3" spans="2:7">
      <c r="B3" s="309" t="s">
        <v>241</v>
      </c>
      <c r="C3" s="309"/>
      <c r="D3" s="309"/>
      <c r="E3" s="309"/>
      <c r="F3" s="309"/>
      <c r="G3" s="309"/>
    </row>
    <row r="4" spans="2:7">
      <c r="B4" s="40" t="s">
        <v>237</v>
      </c>
      <c r="C4" s="122" t="s">
        <v>242</v>
      </c>
      <c r="D4" s="40" t="s">
        <v>238</v>
      </c>
      <c r="E4" s="122" t="s">
        <v>243</v>
      </c>
      <c r="F4" s="40" t="s">
        <v>236</v>
      </c>
      <c r="G4" s="40" t="s">
        <v>239</v>
      </c>
    </row>
    <row r="5" spans="2:7">
      <c r="B5" s="121">
        <v>45777</v>
      </c>
      <c r="C5" s="123" t="s">
        <v>244</v>
      </c>
      <c r="D5" s="77">
        <v>208860</v>
      </c>
      <c r="E5" s="124" t="s">
        <v>245</v>
      </c>
      <c r="F5" s="77">
        <v>-2360</v>
      </c>
      <c r="G5" s="77">
        <f>D5+F5</f>
        <v>206500</v>
      </c>
    </row>
    <row r="6" spans="2:7">
      <c r="B6" s="121">
        <v>45808</v>
      </c>
      <c r="C6" s="123" t="s">
        <v>183</v>
      </c>
      <c r="D6" s="77">
        <v>55460</v>
      </c>
      <c r="E6" s="124" t="s">
        <v>246</v>
      </c>
      <c r="F6" s="77">
        <v>-55460</v>
      </c>
      <c r="G6" s="77">
        <f>D6+F6</f>
        <v>0</v>
      </c>
    </row>
    <row r="8" spans="2:7">
      <c r="B8" s="310" t="s">
        <v>240</v>
      </c>
      <c r="C8" s="310"/>
      <c r="D8" s="310"/>
      <c r="E8" s="310"/>
      <c r="F8" s="94"/>
      <c r="G8" s="94"/>
    </row>
    <row r="9" spans="2:7">
      <c r="B9" s="40"/>
      <c r="C9" s="122" t="s">
        <v>242</v>
      </c>
      <c r="D9" s="40" t="s">
        <v>238</v>
      </c>
      <c r="E9" s="40" t="s">
        <v>239</v>
      </c>
    </row>
    <row r="10" spans="2:7">
      <c r="B10" s="121">
        <v>45456</v>
      </c>
      <c r="C10" s="123" t="s">
        <v>247</v>
      </c>
      <c r="D10" s="77">
        <v>40120</v>
      </c>
      <c r="E10" s="77">
        <f>D10</f>
        <v>40120</v>
      </c>
    </row>
  </sheetData>
  <mergeCells count="2">
    <mergeCell ref="B3:G3"/>
    <mergeCell ref="B8:E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1725E-47D5-4FFB-96C2-491C608E595B}">
  <dimension ref="B2:G26"/>
  <sheetViews>
    <sheetView workbookViewId="0">
      <selection activeCell="D1" sqref="D1"/>
    </sheetView>
  </sheetViews>
  <sheetFormatPr defaultRowHeight="15"/>
  <cols>
    <col min="2" max="2" width="25.7109375" bestFit="1" customWidth="1"/>
    <col min="3" max="3" width="24.42578125" bestFit="1" customWidth="1"/>
    <col min="4" max="4" width="24.7109375" bestFit="1" customWidth="1"/>
    <col min="5" max="5" width="13.85546875" bestFit="1" customWidth="1"/>
    <col min="6" max="6" width="17.140625" bestFit="1" customWidth="1"/>
    <col min="7" max="7" width="13.140625" bestFit="1" customWidth="1"/>
  </cols>
  <sheetData>
    <row r="2" spans="2:6">
      <c r="B2" s="40" t="s">
        <v>167</v>
      </c>
      <c r="C2" s="40" t="s">
        <v>168</v>
      </c>
      <c r="D2" s="40" t="s">
        <v>171</v>
      </c>
      <c r="E2" s="40" t="s">
        <v>169</v>
      </c>
      <c r="F2" s="40" t="s">
        <v>170</v>
      </c>
    </row>
    <row r="3" spans="2:6">
      <c r="B3" s="40">
        <v>100</v>
      </c>
      <c r="C3" s="40">
        <v>2950</v>
      </c>
      <c r="D3" s="77">
        <f>B3*C3</f>
        <v>295000</v>
      </c>
      <c r="E3" s="77">
        <f>D3*20%</f>
        <v>59000</v>
      </c>
      <c r="F3" s="77">
        <f>E3*25%</f>
        <v>14750</v>
      </c>
    </row>
    <row r="9" spans="2:6">
      <c r="B9" s="94" t="s">
        <v>206</v>
      </c>
    </row>
    <row r="10" spans="2:6">
      <c r="B10" t="s">
        <v>207</v>
      </c>
      <c r="C10">
        <v>120</v>
      </c>
    </row>
    <row r="11" spans="2:6">
      <c r="B11" s="104" t="s">
        <v>221</v>
      </c>
      <c r="C11" s="85">
        <v>1500</v>
      </c>
    </row>
    <row r="12" spans="2:6" ht="15.75" thickBot="1">
      <c r="B12" s="105" t="s">
        <v>220</v>
      </c>
      <c r="C12" s="106">
        <f>C11*C10</f>
        <v>180000</v>
      </c>
    </row>
    <row r="13" spans="2:6" ht="15.75" thickTop="1"/>
    <row r="14" spans="2:6">
      <c r="B14" s="89" t="s">
        <v>208</v>
      </c>
      <c r="C14" s="86">
        <f>C12*100/118</f>
        <v>152542.37288135593</v>
      </c>
    </row>
    <row r="15" spans="2:6">
      <c r="B15" s="90" t="s">
        <v>209</v>
      </c>
      <c r="C15" s="87">
        <f>C14*18%</f>
        <v>27457.627118644064</v>
      </c>
    </row>
    <row r="16" spans="2:6">
      <c r="B16" s="91" t="s">
        <v>210</v>
      </c>
      <c r="C16" s="107">
        <f>C14+C15</f>
        <v>180000</v>
      </c>
    </row>
    <row r="17" spans="2:7">
      <c r="B17" s="91"/>
      <c r="C17" s="88"/>
    </row>
    <row r="18" spans="2:7">
      <c r="B18" s="100"/>
      <c r="C18" s="95" t="s">
        <v>212</v>
      </c>
      <c r="D18" s="110" t="s">
        <v>213</v>
      </c>
    </row>
    <row r="19" spans="2:7">
      <c r="B19" s="101" t="s">
        <v>211</v>
      </c>
      <c r="C19" s="108">
        <f>C14*25%</f>
        <v>38135.593220338982</v>
      </c>
      <c r="D19" s="97">
        <f>C19</f>
        <v>38135.593220338982</v>
      </c>
      <c r="E19" s="92"/>
      <c r="F19" s="93"/>
      <c r="G19" s="92"/>
    </row>
    <row r="20" spans="2:7">
      <c r="B20" s="103" t="s">
        <v>218</v>
      </c>
      <c r="C20" s="109">
        <f>C19*18%</f>
        <v>6864.4067796610161</v>
      </c>
      <c r="D20" s="98">
        <f>D19*18%</f>
        <v>6864.4067796610161</v>
      </c>
      <c r="F20" s="93"/>
    </row>
    <row r="21" spans="2:7">
      <c r="B21" s="102" t="s">
        <v>214</v>
      </c>
      <c r="C21" s="108">
        <f>C19+C20</f>
        <v>45000</v>
      </c>
      <c r="D21" s="97">
        <f>D19+D20</f>
        <v>45000</v>
      </c>
      <c r="E21" s="92"/>
      <c r="F21" s="93"/>
      <c r="G21" s="92"/>
    </row>
    <row r="22" spans="2:7">
      <c r="B22" s="103" t="s">
        <v>217</v>
      </c>
      <c r="C22" s="109">
        <v>763</v>
      </c>
      <c r="D22" s="98">
        <v>763</v>
      </c>
    </row>
    <row r="23" spans="2:7">
      <c r="B23" s="101" t="s">
        <v>215</v>
      </c>
      <c r="C23" s="108">
        <f>C21-C22</f>
        <v>44237</v>
      </c>
      <c r="D23" s="97">
        <f>D21-D22</f>
        <v>44237</v>
      </c>
    </row>
    <row r="24" spans="2:7">
      <c r="B24" s="103" t="s">
        <v>219</v>
      </c>
      <c r="C24" s="109">
        <v>20000</v>
      </c>
      <c r="D24" s="98">
        <v>0</v>
      </c>
    </row>
    <row r="25" spans="2:7" ht="15.75" thickBot="1">
      <c r="B25" s="103" t="s">
        <v>216</v>
      </c>
      <c r="C25" s="96">
        <f>C23-C24</f>
        <v>24237</v>
      </c>
      <c r="D25" s="99">
        <f>D23-D24</f>
        <v>44237</v>
      </c>
    </row>
    <row r="26" spans="2:7" ht="15.75" thickTop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80DF4-9B5B-44F0-BAFC-E475969E0836}">
  <dimension ref="A1:BG23"/>
  <sheetViews>
    <sheetView topLeftCell="F5" workbookViewId="0">
      <selection activeCell="T20" sqref="T20"/>
    </sheetView>
  </sheetViews>
  <sheetFormatPr defaultRowHeight="15"/>
  <cols>
    <col min="1" max="1" width="6.85546875" bestFit="1" customWidth="1"/>
    <col min="2" max="2" width="38.7109375" bestFit="1" customWidth="1"/>
    <col min="3" max="3" width="7.7109375" bestFit="1" customWidth="1"/>
    <col min="4" max="4" width="12.7109375" bestFit="1" customWidth="1"/>
    <col min="5" max="5" width="13.140625" bestFit="1" customWidth="1"/>
    <col min="6" max="6" width="5" bestFit="1" customWidth="1"/>
    <col min="7" max="7" width="31" bestFit="1" customWidth="1"/>
    <col min="8" max="8" width="8.42578125" bestFit="1" customWidth="1"/>
    <col min="9" max="9" width="11.140625" bestFit="1" customWidth="1"/>
    <col min="10" max="10" width="14.85546875" bestFit="1" customWidth="1"/>
    <col min="11" max="11" width="21" bestFit="1" customWidth="1"/>
    <col min="12" max="14" width="14.140625" bestFit="1" customWidth="1"/>
    <col min="16" max="16" width="14.28515625" bestFit="1" customWidth="1"/>
    <col min="17" max="17" width="3.42578125" bestFit="1" customWidth="1"/>
    <col min="18" max="18" width="8.140625" bestFit="1" customWidth="1"/>
    <col min="19" max="19" width="7" bestFit="1" customWidth="1"/>
    <col min="20" max="20" width="4.42578125" bestFit="1" customWidth="1"/>
    <col min="21" max="21" width="8.140625" bestFit="1" customWidth="1"/>
    <col min="22" max="22" width="7" bestFit="1" customWidth="1"/>
    <col min="23" max="23" width="2.42578125" bestFit="1" customWidth="1"/>
    <col min="24" max="24" width="8.140625" bestFit="1" customWidth="1"/>
    <col min="25" max="25" width="7" bestFit="1" customWidth="1"/>
    <col min="26" max="26" width="2.42578125" bestFit="1" customWidth="1"/>
    <col min="27" max="27" width="8.140625" bestFit="1" customWidth="1"/>
    <col min="28" max="28" width="7" bestFit="1" customWidth="1"/>
  </cols>
  <sheetData>
    <row r="1" spans="1:59" s="1" customFormat="1">
      <c r="A1" s="2" t="s">
        <v>0</v>
      </c>
      <c r="C1" s="21"/>
      <c r="D1" s="21"/>
      <c r="E1" s="6"/>
      <c r="F1" s="6"/>
      <c r="G1" s="2"/>
      <c r="H1" s="2"/>
      <c r="R1" s="15"/>
      <c r="S1" s="15"/>
    </row>
    <row r="2" spans="1:59" s="1" customFormat="1">
      <c r="A2" s="2" t="s">
        <v>1</v>
      </c>
      <c r="B2" s="3"/>
      <c r="C2" s="42"/>
      <c r="D2" s="42"/>
      <c r="E2" s="21"/>
      <c r="F2" s="21"/>
      <c r="AD2" s="312" t="s">
        <v>2</v>
      </c>
      <c r="AE2" s="312"/>
      <c r="AF2" s="312"/>
      <c r="AG2" s="312"/>
      <c r="AH2" s="312"/>
      <c r="AI2" s="312"/>
      <c r="AJ2" s="312"/>
      <c r="AK2" s="312"/>
      <c r="AL2" s="312"/>
      <c r="AM2" s="312"/>
      <c r="AN2" s="312"/>
      <c r="AO2" s="312"/>
    </row>
    <row r="3" spans="1:59" s="1" customFormat="1" ht="27" customHeight="1">
      <c r="A3" s="2"/>
      <c r="B3" s="3"/>
      <c r="C3" s="42"/>
      <c r="D3" s="42"/>
      <c r="E3" s="21"/>
      <c r="F3" s="21"/>
      <c r="Q3" s="306" t="s">
        <v>3</v>
      </c>
      <c r="R3" s="313"/>
      <c r="S3" s="314"/>
      <c r="T3" s="307" t="s">
        <v>4</v>
      </c>
      <c r="U3" s="315"/>
      <c r="V3" s="316"/>
      <c r="W3" s="308" t="s">
        <v>5</v>
      </c>
      <c r="X3" s="308"/>
      <c r="Y3" s="308"/>
      <c r="Z3" s="279" t="s">
        <v>6</v>
      </c>
      <c r="AA3" s="279"/>
      <c r="AB3" s="279"/>
      <c r="AC3" s="21"/>
      <c r="AD3" s="54" t="s">
        <v>7</v>
      </c>
      <c r="AE3" s="54" t="s">
        <v>8</v>
      </c>
      <c r="AF3" s="54" t="s">
        <v>9</v>
      </c>
      <c r="AG3" s="54" t="s">
        <v>10</v>
      </c>
      <c r="AH3" s="54" t="s">
        <v>11</v>
      </c>
      <c r="AI3" s="54" t="s">
        <v>12</v>
      </c>
      <c r="AJ3" s="54" t="s">
        <v>13</v>
      </c>
      <c r="AK3" s="54" t="s">
        <v>14</v>
      </c>
      <c r="AL3" s="54" t="s">
        <v>15</v>
      </c>
      <c r="AM3" s="54" t="s">
        <v>16</v>
      </c>
      <c r="AN3" s="54" t="s">
        <v>17</v>
      </c>
      <c r="AO3" s="54" t="s">
        <v>18</v>
      </c>
      <c r="AR3" s="270" t="s">
        <v>19</v>
      </c>
      <c r="AS3" s="56" t="s">
        <v>20</v>
      </c>
      <c r="AT3" s="56" t="s">
        <v>21</v>
      </c>
      <c r="AU3" s="56" t="s">
        <v>22</v>
      </c>
      <c r="AV3" s="56" t="s">
        <v>23</v>
      </c>
      <c r="AW3" s="56" t="s">
        <v>24</v>
      </c>
      <c r="AX3" s="56"/>
      <c r="AZ3" s="56" t="s">
        <v>25</v>
      </c>
      <c r="BA3" s="56" t="s">
        <v>26</v>
      </c>
    </row>
    <row r="4" spans="1:59" s="1" customFormat="1" ht="44.25" customHeight="1">
      <c r="A4" s="4" t="s">
        <v>29</v>
      </c>
      <c r="B4" s="4" t="s">
        <v>30</v>
      </c>
      <c r="C4" s="4" t="s">
        <v>31</v>
      </c>
      <c r="D4" s="4" t="s">
        <v>32</v>
      </c>
      <c r="E4" s="4" t="s">
        <v>33</v>
      </c>
      <c r="F4" s="4" t="s">
        <v>34</v>
      </c>
      <c r="G4" s="4" t="s">
        <v>35</v>
      </c>
      <c r="H4" s="4" t="s">
        <v>36</v>
      </c>
      <c r="I4" s="4" t="s">
        <v>37</v>
      </c>
      <c r="J4" s="4" t="s">
        <v>38</v>
      </c>
      <c r="K4" s="4" t="s">
        <v>39</v>
      </c>
      <c r="L4" s="4" t="s">
        <v>40</v>
      </c>
      <c r="M4" s="4" t="s">
        <v>41</v>
      </c>
      <c r="N4" s="4" t="s">
        <v>42</v>
      </c>
      <c r="O4" s="4" t="s">
        <v>43</v>
      </c>
      <c r="P4" s="4" t="s">
        <v>44</v>
      </c>
      <c r="Q4" s="7" t="s">
        <v>45</v>
      </c>
      <c r="R4" s="7" t="s">
        <v>46</v>
      </c>
      <c r="S4" s="7" t="s">
        <v>47</v>
      </c>
      <c r="T4" s="17" t="s">
        <v>45</v>
      </c>
      <c r="U4" s="17" t="s">
        <v>46</v>
      </c>
      <c r="V4" s="17" t="s">
        <v>47</v>
      </c>
      <c r="W4" s="18" t="s">
        <v>45</v>
      </c>
      <c r="X4" s="18" t="s">
        <v>46</v>
      </c>
      <c r="Y4" s="18" t="s">
        <v>47</v>
      </c>
      <c r="Z4" s="19" t="s">
        <v>45</v>
      </c>
      <c r="AA4" s="19" t="s">
        <v>46</v>
      </c>
      <c r="AB4" s="19" t="s">
        <v>47</v>
      </c>
      <c r="AD4" s="5">
        <v>1700.36</v>
      </c>
      <c r="AE4" s="5">
        <v>3908.31</v>
      </c>
      <c r="AF4" s="5">
        <v>744.45</v>
      </c>
      <c r="AG4" s="5">
        <v>3883.32</v>
      </c>
      <c r="AH4" s="5">
        <v>2301.4699999999998</v>
      </c>
      <c r="AI4" s="5">
        <v>1382.09</v>
      </c>
      <c r="AJ4" s="5">
        <v>2301.4699999999998</v>
      </c>
      <c r="AK4" s="5">
        <v>1430.35</v>
      </c>
      <c r="AL4" s="5">
        <v>3908.09</v>
      </c>
      <c r="AM4" s="5">
        <v>1382.09</v>
      </c>
      <c r="AN4" s="5">
        <v>1807.18</v>
      </c>
      <c r="AO4" s="5">
        <v>2304.23</v>
      </c>
      <c r="AP4" s="57" t="s">
        <v>48</v>
      </c>
      <c r="AR4" s="270"/>
      <c r="AS4" s="58">
        <v>0.02</v>
      </c>
      <c r="AT4" s="58">
        <v>0.25</v>
      </c>
      <c r="AU4" s="55">
        <v>254</v>
      </c>
      <c r="AV4" s="55">
        <v>213</v>
      </c>
      <c r="AW4" s="55">
        <v>25</v>
      </c>
      <c r="AX4" s="55" t="s">
        <v>49</v>
      </c>
      <c r="AZ4" s="58">
        <v>0.05</v>
      </c>
      <c r="BA4" s="58">
        <v>0.25</v>
      </c>
      <c r="BB4" s="28"/>
      <c r="BC4" s="55" t="s">
        <v>27</v>
      </c>
      <c r="BD4" s="28"/>
      <c r="BE4" s="59" t="s">
        <v>50</v>
      </c>
      <c r="BF4" s="28"/>
      <c r="BG4" s="59" t="s">
        <v>51</v>
      </c>
    </row>
    <row r="5" spans="1:59" s="1" customFormat="1">
      <c r="A5" s="4"/>
      <c r="B5" s="5" t="s">
        <v>64</v>
      </c>
      <c r="C5" s="31">
        <v>1</v>
      </c>
      <c r="D5" s="31" t="s">
        <v>54</v>
      </c>
      <c r="E5" s="31" t="s">
        <v>54</v>
      </c>
      <c r="F5" s="31" t="s">
        <v>54</v>
      </c>
      <c r="G5" s="5" t="s">
        <v>120</v>
      </c>
      <c r="H5" s="5" t="s">
        <v>56</v>
      </c>
      <c r="I5" s="5" t="s">
        <v>57</v>
      </c>
      <c r="J5" s="5"/>
      <c r="K5" s="11"/>
      <c r="L5" s="9">
        <v>2100</v>
      </c>
      <c r="M5" s="10">
        <v>2478</v>
      </c>
      <c r="N5" s="10"/>
      <c r="O5" s="10"/>
      <c r="P5" s="13"/>
      <c r="Q5" s="12"/>
      <c r="R5" s="10"/>
      <c r="S5" s="22"/>
      <c r="T5" s="12"/>
      <c r="U5" s="10"/>
      <c r="V5" s="23"/>
      <c r="W5" s="12"/>
      <c r="X5" s="10"/>
      <c r="Y5" s="23"/>
      <c r="Z5" s="12"/>
      <c r="AA5" s="10"/>
      <c r="AB5" s="23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7"/>
      <c r="AQ5" s="27"/>
      <c r="AR5" s="27"/>
      <c r="AS5" s="27"/>
      <c r="AT5" s="27"/>
      <c r="AU5" s="27"/>
      <c r="AV5" s="27"/>
      <c r="AW5" s="27"/>
      <c r="AX5" s="27"/>
      <c r="AZ5" s="15"/>
      <c r="BA5" s="15"/>
      <c r="BC5" s="27"/>
      <c r="BE5" s="15"/>
      <c r="BG5" s="15"/>
    </row>
    <row r="6" spans="1:59" s="1" customFormat="1">
      <c r="A6" s="4"/>
      <c r="B6" s="38" t="s">
        <v>121</v>
      </c>
      <c r="C6" s="31">
        <v>1</v>
      </c>
      <c r="D6" s="31" t="s">
        <v>54</v>
      </c>
      <c r="E6" s="31" t="s">
        <v>54</v>
      </c>
      <c r="F6" s="31"/>
      <c r="G6" s="5" t="s">
        <v>120</v>
      </c>
      <c r="H6" s="5" t="s">
        <v>56</v>
      </c>
      <c r="I6" s="5" t="s">
        <v>57</v>
      </c>
      <c r="J6" s="5"/>
      <c r="K6" s="11"/>
      <c r="L6" s="9">
        <v>2100</v>
      </c>
      <c r="M6" s="10">
        <v>2478</v>
      </c>
      <c r="N6" s="10"/>
      <c r="O6" s="10"/>
      <c r="P6" s="13"/>
      <c r="Q6" s="12"/>
      <c r="R6" s="10"/>
      <c r="S6" s="22"/>
      <c r="T6" s="12"/>
      <c r="U6" s="10"/>
      <c r="V6" s="23"/>
      <c r="W6" s="12"/>
      <c r="X6" s="10"/>
      <c r="Y6" s="23"/>
      <c r="Z6" s="12"/>
      <c r="AA6" s="10"/>
      <c r="AB6" s="23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7"/>
      <c r="AQ6" s="27"/>
      <c r="AR6" s="27"/>
      <c r="AS6" s="27"/>
      <c r="AT6" s="27"/>
      <c r="AU6" s="27"/>
      <c r="AV6" s="27"/>
      <c r="AW6" s="27"/>
      <c r="AX6" s="27"/>
      <c r="AZ6" s="15"/>
      <c r="BA6" s="15"/>
      <c r="BC6" s="27"/>
      <c r="BE6" s="15"/>
      <c r="BG6" s="15"/>
    </row>
    <row r="7" spans="1:59" s="1" customFormat="1">
      <c r="A7" s="4"/>
      <c r="B7" s="5" t="s">
        <v>72</v>
      </c>
      <c r="C7" s="31">
        <v>1</v>
      </c>
      <c r="D7" s="31" t="s">
        <v>54</v>
      </c>
      <c r="E7" s="31" t="s">
        <v>54</v>
      </c>
      <c r="F7" s="31" t="s">
        <v>54</v>
      </c>
      <c r="G7" s="5" t="s">
        <v>120</v>
      </c>
      <c r="H7" s="5" t="s">
        <v>73</v>
      </c>
      <c r="I7" s="5" t="s">
        <v>57</v>
      </c>
      <c r="J7" s="5"/>
      <c r="K7" s="11"/>
      <c r="L7" s="9">
        <v>1500</v>
      </c>
      <c r="M7" s="10">
        <v>1770</v>
      </c>
      <c r="N7" s="10"/>
      <c r="O7" s="10"/>
      <c r="P7" s="13"/>
      <c r="Q7" s="12"/>
      <c r="R7" s="10"/>
      <c r="S7" s="22"/>
      <c r="T7" s="12"/>
      <c r="U7" s="10"/>
      <c r="V7" s="23"/>
      <c r="W7" s="10"/>
      <c r="X7" s="10"/>
      <c r="Y7" s="10"/>
      <c r="Z7" s="10"/>
      <c r="AA7" s="10"/>
      <c r="AB7" s="10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7"/>
      <c r="AQ7" s="27"/>
      <c r="AR7" s="27"/>
      <c r="AS7" s="27"/>
      <c r="AT7" s="27"/>
      <c r="AU7" s="27">
        <f>IFERROR(K7*'2025-2026'!$BG$4,0)</f>
        <v>0</v>
      </c>
      <c r="AV7" s="27">
        <f>IFERROR(K7*'2025-2026'!$BH$4,0)</f>
        <v>0</v>
      </c>
      <c r="AW7" s="27"/>
      <c r="AX7" s="27"/>
      <c r="AZ7" s="15"/>
      <c r="BA7" s="15"/>
      <c r="BC7" s="27"/>
      <c r="BE7" s="15"/>
      <c r="BG7" s="15"/>
    </row>
    <row r="8" spans="1:59" s="1" customFormat="1">
      <c r="A8" s="4"/>
      <c r="B8" s="5" t="s">
        <v>74</v>
      </c>
      <c r="C8" s="31">
        <v>1</v>
      </c>
      <c r="D8" s="31" t="s">
        <v>54</v>
      </c>
      <c r="E8" s="31" t="s">
        <v>54</v>
      </c>
      <c r="F8" s="31" t="s">
        <v>54</v>
      </c>
      <c r="G8" s="5" t="s">
        <v>120</v>
      </c>
      <c r="H8" s="5" t="s">
        <v>73</v>
      </c>
      <c r="I8" s="5" t="s">
        <v>57</v>
      </c>
      <c r="J8" s="5"/>
      <c r="K8" s="11"/>
      <c r="L8" s="9">
        <v>1500</v>
      </c>
      <c r="M8" s="10">
        <v>1770</v>
      </c>
      <c r="N8" s="10"/>
      <c r="O8" s="10"/>
      <c r="P8" s="13"/>
      <c r="Q8" s="12"/>
      <c r="R8" s="10"/>
      <c r="S8" s="22"/>
      <c r="T8" s="12"/>
      <c r="U8" s="10"/>
      <c r="V8" s="23"/>
      <c r="W8" s="10"/>
      <c r="X8" s="10"/>
      <c r="Y8" s="10"/>
      <c r="Z8" s="10"/>
      <c r="AA8" s="10"/>
      <c r="AB8" s="10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7"/>
      <c r="AQ8" s="27"/>
      <c r="AR8" s="27"/>
      <c r="AS8" s="27"/>
      <c r="AT8" s="27"/>
      <c r="AU8" s="27"/>
      <c r="AV8" s="27"/>
      <c r="AW8" s="27"/>
      <c r="AX8" s="27"/>
      <c r="AZ8" s="15"/>
      <c r="BA8" s="15"/>
      <c r="BC8" s="27"/>
      <c r="BE8" s="15"/>
      <c r="BG8" s="15"/>
    </row>
    <row r="9" spans="1:59" s="1" customFormat="1">
      <c r="A9" s="4"/>
      <c r="B9" s="5" t="s">
        <v>95</v>
      </c>
      <c r="C9" s="31">
        <v>1</v>
      </c>
      <c r="D9" s="31" t="s">
        <v>54</v>
      </c>
      <c r="E9" s="31" t="s">
        <v>54</v>
      </c>
      <c r="F9" s="31" t="s">
        <v>54</v>
      </c>
      <c r="G9" s="5" t="s">
        <v>120</v>
      </c>
      <c r="H9" s="5" t="s">
        <v>56</v>
      </c>
      <c r="I9" s="5" t="s">
        <v>57</v>
      </c>
      <c r="J9" s="10"/>
      <c r="K9" s="5"/>
      <c r="L9" s="30">
        <v>1118.6400000000001</v>
      </c>
      <c r="M9" s="10">
        <v>1320</v>
      </c>
      <c r="N9" s="10"/>
      <c r="O9" s="10"/>
      <c r="P9" s="13"/>
      <c r="Q9" s="12"/>
      <c r="R9" s="10"/>
      <c r="S9" s="35"/>
      <c r="T9" s="12"/>
      <c r="U9" s="10"/>
      <c r="V9" s="37"/>
      <c r="W9" s="12"/>
      <c r="X9" s="10"/>
      <c r="Y9" s="23"/>
      <c r="Z9" s="12"/>
      <c r="AA9" s="10"/>
      <c r="AB9" s="23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7"/>
      <c r="AQ9" s="27"/>
      <c r="AR9" s="27"/>
      <c r="AS9" s="27"/>
      <c r="AT9" s="27"/>
      <c r="AU9" s="27"/>
      <c r="AV9" s="27"/>
      <c r="AW9" s="27"/>
      <c r="AX9" s="27"/>
      <c r="AZ9" s="15"/>
      <c r="BA9" s="15"/>
      <c r="BC9" s="27"/>
      <c r="BE9" s="15"/>
      <c r="BG9" s="15"/>
    </row>
    <row r="10" spans="1:59">
      <c r="A10" s="40"/>
      <c r="B10" s="5" t="s">
        <v>52</v>
      </c>
      <c r="C10" s="31">
        <v>1</v>
      </c>
      <c r="D10" s="31"/>
      <c r="E10" s="31" t="s">
        <v>53</v>
      </c>
      <c r="F10" s="31" t="s">
        <v>54</v>
      </c>
      <c r="G10" s="5" t="s">
        <v>120</v>
      </c>
      <c r="H10" s="5" t="s">
        <v>56</v>
      </c>
      <c r="I10" s="5" t="s">
        <v>57</v>
      </c>
      <c r="J10" s="5"/>
      <c r="K10" s="8"/>
      <c r="L10" s="44">
        <v>2000</v>
      </c>
      <c r="M10" s="45">
        <f t="shared" ref="M10:M15" si="0">L10*1.18</f>
        <v>2360</v>
      </c>
      <c r="N10" s="10">
        <f t="shared" ref="N10:N15" si="1">IFERROR(K10*M10,0)</f>
        <v>0</v>
      </c>
      <c r="O10" s="10"/>
      <c r="P10" s="13"/>
      <c r="Q10" s="32"/>
      <c r="R10" s="32"/>
      <c r="S10" s="32"/>
      <c r="T10" s="32"/>
      <c r="U10" s="32"/>
      <c r="V10" s="33"/>
      <c r="W10" s="32"/>
      <c r="X10" s="32"/>
      <c r="Y10" s="32"/>
      <c r="Z10" s="32"/>
      <c r="AA10" s="32"/>
      <c r="AB10" s="32"/>
    </row>
    <row r="11" spans="1:59">
      <c r="A11" s="40"/>
      <c r="B11" s="5" t="s">
        <v>76</v>
      </c>
      <c r="C11" s="31">
        <v>1</v>
      </c>
      <c r="D11" s="31" t="s">
        <v>54</v>
      </c>
      <c r="E11" s="31" t="s">
        <v>54</v>
      </c>
      <c r="F11" s="31" t="s">
        <v>54</v>
      </c>
      <c r="G11" s="5" t="s">
        <v>120</v>
      </c>
      <c r="H11" s="5" t="s">
        <v>56</v>
      </c>
      <c r="I11" s="5" t="s">
        <v>57</v>
      </c>
      <c r="J11" s="5"/>
      <c r="K11" s="8"/>
      <c r="L11" s="45">
        <v>1800</v>
      </c>
      <c r="M11" s="45">
        <f t="shared" si="0"/>
        <v>2124</v>
      </c>
      <c r="N11" s="10">
        <f t="shared" si="1"/>
        <v>0</v>
      </c>
      <c r="O11" s="311"/>
      <c r="P11" s="13"/>
      <c r="Q11" s="12">
        <v>0.05</v>
      </c>
      <c r="R11" s="10">
        <f t="shared" ref="R11:R14" si="2">N11*25%</f>
        <v>0</v>
      </c>
      <c r="S11" s="22"/>
      <c r="T11" s="12">
        <f t="shared" ref="T11:T14" si="3">1-Q11</f>
        <v>0.95</v>
      </c>
      <c r="U11" s="10">
        <f t="shared" ref="U11:U15" si="4">N11*T11</f>
        <v>0</v>
      </c>
      <c r="V11" s="23"/>
      <c r="W11" s="10">
        <v>0</v>
      </c>
      <c r="X11" s="10">
        <f t="shared" ref="X11:X15" si="5">N11*W11</f>
        <v>0</v>
      </c>
      <c r="Y11" s="10">
        <v>0</v>
      </c>
      <c r="Z11" s="10">
        <v>0</v>
      </c>
      <c r="AA11" s="10">
        <f t="shared" ref="AA11:AA14" si="6">N11*Z11</f>
        <v>0</v>
      </c>
      <c r="AB11" s="10">
        <v>0</v>
      </c>
    </row>
    <row r="12" spans="1:59">
      <c r="A12" s="40"/>
      <c r="B12" s="5" t="s">
        <v>77</v>
      </c>
      <c r="C12" s="31">
        <v>1</v>
      </c>
      <c r="D12" s="31" t="s">
        <v>54</v>
      </c>
      <c r="E12" s="31" t="s">
        <v>54</v>
      </c>
      <c r="F12" s="31" t="s">
        <v>54</v>
      </c>
      <c r="G12" s="5" t="s">
        <v>120</v>
      </c>
      <c r="H12" s="5" t="s">
        <v>78</v>
      </c>
      <c r="I12" s="5" t="s">
        <v>57</v>
      </c>
      <c r="J12" s="5"/>
      <c r="K12" s="40"/>
      <c r="L12" s="45">
        <v>1800</v>
      </c>
      <c r="M12" s="45">
        <f t="shared" si="0"/>
        <v>2124</v>
      </c>
      <c r="N12" s="10">
        <f t="shared" si="1"/>
        <v>0</v>
      </c>
      <c r="O12" s="311"/>
      <c r="P12" s="13"/>
      <c r="Q12" s="12">
        <v>0.05</v>
      </c>
      <c r="R12" s="10">
        <f t="shared" si="2"/>
        <v>0</v>
      </c>
      <c r="S12" s="22"/>
      <c r="T12" s="12">
        <f t="shared" si="3"/>
        <v>0.95</v>
      </c>
      <c r="U12" s="10">
        <f t="shared" si="4"/>
        <v>0</v>
      </c>
      <c r="V12" s="23"/>
      <c r="W12" s="10">
        <v>0</v>
      </c>
      <c r="X12" s="10">
        <f t="shared" si="5"/>
        <v>0</v>
      </c>
      <c r="Y12" s="10">
        <v>0</v>
      </c>
      <c r="Z12" s="10">
        <v>0</v>
      </c>
      <c r="AA12" s="10">
        <f t="shared" si="6"/>
        <v>0</v>
      </c>
      <c r="AB12" s="10">
        <v>0</v>
      </c>
    </row>
    <row r="13" spans="1:59">
      <c r="A13" s="40"/>
      <c r="B13" s="5" t="s">
        <v>79</v>
      </c>
      <c r="C13" s="31">
        <v>1</v>
      </c>
      <c r="D13" s="31" t="s">
        <v>54</v>
      </c>
      <c r="E13" s="31" t="s">
        <v>54</v>
      </c>
      <c r="F13" s="31" t="s">
        <v>54</v>
      </c>
      <c r="G13" s="5" t="s">
        <v>120</v>
      </c>
      <c r="H13" s="5" t="s">
        <v>80</v>
      </c>
      <c r="I13" s="5" t="s">
        <v>57</v>
      </c>
      <c r="J13" s="5"/>
      <c r="K13" s="40"/>
      <c r="L13" s="45">
        <v>1800</v>
      </c>
      <c r="M13" s="45">
        <f t="shared" si="0"/>
        <v>2124</v>
      </c>
      <c r="N13" s="10">
        <f t="shared" si="1"/>
        <v>0</v>
      </c>
      <c r="O13" s="311"/>
      <c r="P13" s="13"/>
      <c r="Q13" s="12">
        <v>0.05</v>
      </c>
      <c r="R13" s="10">
        <f t="shared" si="2"/>
        <v>0</v>
      </c>
      <c r="S13" s="22"/>
      <c r="T13" s="12">
        <f t="shared" si="3"/>
        <v>0.95</v>
      </c>
      <c r="U13" s="10">
        <f t="shared" si="4"/>
        <v>0</v>
      </c>
      <c r="V13" s="23"/>
      <c r="W13" s="10">
        <v>0</v>
      </c>
      <c r="X13" s="10">
        <f t="shared" si="5"/>
        <v>0</v>
      </c>
      <c r="Y13" s="10">
        <v>0</v>
      </c>
      <c r="Z13" s="10">
        <v>0</v>
      </c>
      <c r="AA13" s="10">
        <f t="shared" si="6"/>
        <v>0</v>
      </c>
      <c r="AB13" s="10">
        <v>0</v>
      </c>
    </row>
    <row r="14" spans="1:59">
      <c r="A14" s="40"/>
      <c r="B14" s="5" t="s">
        <v>81</v>
      </c>
      <c r="C14" s="31">
        <v>1</v>
      </c>
      <c r="D14" s="31" t="s">
        <v>54</v>
      </c>
      <c r="E14" s="31" t="s">
        <v>54</v>
      </c>
      <c r="F14" s="31" t="s">
        <v>54</v>
      </c>
      <c r="G14" s="5" t="s">
        <v>120</v>
      </c>
      <c r="H14" s="5" t="s">
        <v>82</v>
      </c>
      <c r="I14" s="5" t="s">
        <v>57</v>
      </c>
      <c r="J14" s="5"/>
      <c r="K14" s="40"/>
      <c r="L14" s="45">
        <v>1800</v>
      </c>
      <c r="M14" s="45">
        <f t="shared" si="0"/>
        <v>2124</v>
      </c>
      <c r="N14" s="10">
        <f t="shared" si="1"/>
        <v>0</v>
      </c>
      <c r="O14" s="10"/>
      <c r="P14" s="13"/>
      <c r="Q14" s="12">
        <v>0.05</v>
      </c>
      <c r="R14" s="10">
        <f t="shared" si="2"/>
        <v>0</v>
      </c>
      <c r="S14" s="22"/>
      <c r="T14" s="12">
        <f t="shared" si="3"/>
        <v>0.95</v>
      </c>
      <c r="U14" s="10">
        <f t="shared" si="4"/>
        <v>0</v>
      </c>
      <c r="V14" s="23"/>
      <c r="W14" s="10">
        <v>0</v>
      </c>
      <c r="X14" s="10">
        <f t="shared" si="5"/>
        <v>0</v>
      </c>
      <c r="Y14" s="10">
        <v>0</v>
      </c>
      <c r="Z14" s="10">
        <v>0</v>
      </c>
      <c r="AA14" s="10">
        <f t="shared" si="6"/>
        <v>0</v>
      </c>
      <c r="AB14" s="10">
        <v>0</v>
      </c>
    </row>
    <row r="15" spans="1:59">
      <c r="A15" s="40"/>
      <c r="B15" s="5" t="s">
        <v>89</v>
      </c>
      <c r="C15" s="31">
        <v>1</v>
      </c>
      <c r="D15" s="31"/>
      <c r="E15" s="31" t="s">
        <v>54</v>
      </c>
      <c r="F15" s="31" t="s">
        <v>54</v>
      </c>
      <c r="G15" s="5" t="s">
        <v>120</v>
      </c>
      <c r="H15" s="5" t="s">
        <v>56</v>
      </c>
      <c r="I15" s="5" t="s">
        <v>57</v>
      </c>
      <c r="J15" s="10"/>
      <c r="K15" s="40"/>
      <c r="L15" s="45">
        <f>2000/118*100</f>
        <v>1694.9152542372883</v>
      </c>
      <c r="M15" s="45">
        <f t="shared" si="0"/>
        <v>2000</v>
      </c>
      <c r="N15" s="10">
        <f t="shared" si="1"/>
        <v>0</v>
      </c>
      <c r="O15" s="10"/>
      <c r="P15" s="13"/>
      <c r="Q15" s="12">
        <v>0.5</v>
      </c>
      <c r="R15" s="10">
        <f>N15*50%</f>
        <v>0</v>
      </c>
      <c r="S15" s="35"/>
      <c r="T15" s="12">
        <f>1-Q15</f>
        <v>0.5</v>
      </c>
      <c r="U15" s="10">
        <f t="shared" si="4"/>
        <v>0</v>
      </c>
      <c r="V15" s="37" t="s">
        <v>62</v>
      </c>
      <c r="W15" s="10">
        <v>0</v>
      </c>
      <c r="X15" s="10">
        <f t="shared" si="5"/>
        <v>0</v>
      </c>
      <c r="Y15" s="10">
        <v>0</v>
      </c>
      <c r="Z15" s="10">
        <v>0</v>
      </c>
      <c r="AA15" s="10">
        <f>N15*Z15</f>
        <v>0</v>
      </c>
      <c r="AB15" s="10">
        <v>0</v>
      </c>
    </row>
    <row r="16" spans="1:59">
      <c r="A16" s="40"/>
      <c r="B16" s="5" t="s">
        <v>96</v>
      </c>
      <c r="C16" s="31">
        <v>1</v>
      </c>
      <c r="D16" s="31" t="s">
        <v>54</v>
      </c>
      <c r="E16" s="31" t="s">
        <v>54</v>
      </c>
      <c r="F16" s="31" t="s">
        <v>54</v>
      </c>
      <c r="G16" s="5" t="s">
        <v>120</v>
      </c>
      <c r="H16" s="5" t="s">
        <v>97</v>
      </c>
      <c r="I16" s="5" t="s">
        <v>57</v>
      </c>
      <c r="J16" s="10"/>
      <c r="K16" s="11"/>
      <c r="L16" s="45">
        <v>1016.9491525423729</v>
      </c>
      <c r="M16" s="45">
        <v>1200</v>
      </c>
      <c r="N16" s="10"/>
      <c r="O16" s="10"/>
      <c r="P16" s="13"/>
      <c r="Q16" s="12">
        <v>0.5</v>
      </c>
      <c r="R16" s="13"/>
      <c r="S16" s="35" t="s">
        <v>65</v>
      </c>
      <c r="T16" s="12">
        <v>0.5</v>
      </c>
      <c r="U16" s="10"/>
      <c r="V16" s="23" t="s">
        <v>62</v>
      </c>
      <c r="W16" s="20">
        <v>0</v>
      </c>
      <c r="X16" s="10">
        <v>0</v>
      </c>
      <c r="Y16" s="23">
        <v>0</v>
      </c>
      <c r="Z16" s="20">
        <v>0</v>
      </c>
      <c r="AA16" s="10">
        <v>0</v>
      </c>
      <c r="AB16" s="23">
        <v>0</v>
      </c>
    </row>
    <row r="17" spans="1:28">
      <c r="A17" s="40"/>
      <c r="B17" s="5" t="s">
        <v>98</v>
      </c>
      <c r="C17" s="31">
        <v>1</v>
      </c>
      <c r="D17" s="31"/>
      <c r="E17" s="31" t="s">
        <v>53</v>
      </c>
      <c r="F17" s="31" t="s">
        <v>54</v>
      </c>
      <c r="G17" s="5" t="s">
        <v>120</v>
      </c>
      <c r="H17" s="5" t="s">
        <v>56</v>
      </c>
      <c r="I17" s="5" t="s">
        <v>57</v>
      </c>
      <c r="J17" s="10"/>
      <c r="K17" s="5"/>
      <c r="L17" s="45">
        <v>2542.37</v>
      </c>
      <c r="M17" s="45">
        <v>2999.9965999999995</v>
      </c>
      <c r="N17" s="10"/>
      <c r="O17" s="10"/>
      <c r="P17" s="13"/>
      <c r="Q17" s="12">
        <v>1</v>
      </c>
      <c r="R17" s="13"/>
      <c r="S17" s="35" t="s">
        <v>65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</row>
    <row r="18" spans="1:28">
      <c r="A18" s="40"/>
      <c r="B18" s="5" t="s">
        <v>99</v>
      </c>
      <c r="C18" s="31">
        <v>1</v>
      </c>
      <c r="D18" s="31"/>
      <c r="E18" s="31" t="s">
        <v>53</v>
      </c>
      <c r="F18" s="31" t="s">
        <v>54</v>
      </c>
      <c r="G18" s="5" t="s">
        <v>120</v>
      </c>
      <c r="H18" s="5" t="s">
        <v>56</v>
      </c>
      <c r="I18" s="5" t="s">
        <v>57</v>
      </c>
      <c r="J18" s="10"/>
      <c r="K18" s="5"/>
      <c r="L18" s="45">
        <v>2118.6440677966102</v>
      </c>
      <c r="M18" s="45">
        <v>2500</v>
      </c>
      <c r="N18" s="10"/>
      <c r="O18" s="10"/>
      <c r="P18" s="13"/>
      <c r="Q18" s="12">
        <v>1</v>
      </c>
      <c r="R18" s="13"/>
      <c r="S18" s="35" t="s">
        <v>65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</row>
    <row r="19" spans="1:28">
      <c r="A19" s="40"/>
      <c r="B19" s="5" t="s">
        <v>100</v>
      </c>
      <c r="C19" s="31">
        <v>1</v>
      </c>
      <c r="D19" s="31"/>
      <c r="E19" s="31" t="s">
        <v>53</v>
      </c>
      <c r="F19" s="31" t="s">
        <v>54</v>
      </c>
      <c r="G19" s="5" t="s">
        <v>120</v>
      </c>
      <c r="H19" s="5" t="s">
        <v>56</v>
      </c>
      <c r="I19" s="5" t="s">
        <v>57</v>
      </c>
      <c r="J19" s="10"/>
      <c r="K19" s="5"/>
      <c r="L19" s="45">
        <v>2000</v>
      </c>
      <c r="M19" s="45">
        <v>2360</v>
      </c>
      <c r="N19" s="10"/>
      <c r="O19" s="10"/>
      <c r="P19" s="13"/>
      <c r="Q19" s="12">
        <v>1</v>
      </c>
      <c r="R19" s="13"/>
      <c r="S19" s="35" t="s">
        <v>65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</row>
    <row r="20" spans="1:28">
      <c r="A20" s="40"/>
      <c r="B20" s="40" t="s">
        <v>117</v>
      </c>
      <c r="C20" s="31">
        <v>1</v>
      </c>
      <c r="D20" s="31" t="s">
        <v>54</v>
      </c>
      <c r="E20" s="31" t="s">
        <v>54</v>
      </c>
      <c r="F20" s="31" t="s">
        <v>54</v>
      </c>
      <c r="G20" s="5" t="s">
        <v>120</v>
      </c>
      <c r="H20" s="5" t="s">
        <v>118</v>
      </c>
      <c r="I20" s="5" t="s">
        <v>119</v>
      </c>
      <c r="J20" s="5"/>
      <c r="K20" s="5"/>
      <c r="L20" s="44">
        <v>1016.95</v>
      </c>
      <c r="M20" s="44">
        <v>1200</v>
      </c>
      <c r="N20" s="10"/>
      <c r="O20" s="5"/>
      <c r="P20" s="10"/>
      <c r="Q20" s="12">
        <v>1</v>
      </c>
      <c r="R20" s="13"/>
      <c r="S20" s="36"/>
      <c r="T20" s="34"/>
      <c r="U20" s="34"/>
      <c r="V20" s="34"/>
      <c r="W20" s="34"/>
      <c r="X20" s="34"/>
      <c r="Y20" s="34"/>
      <c r="Z20" s="34"/>
      <c r="AA20" s="34"/>
      <c r="AB20" s="34"/>
    </row>
    <row r="21" spans="1:28">
      <c r="A21" s="39"/>
      <c r="B21" s="5" t="s">
        <v>157</v>
      </c>
      <c r="C21" s="31">
        <v>1</v>
      </c>
      <c r="D21" s="31" t="s">
        <v>54</v>
      </c>
      <c r="E21" s="31" t="s">
        <v>54</v>
      </c>
      <c r="F21" s="31"/>
      <c r="G21" s="5" t="s">
        <v>120</v>
      </c>
      <c r="H21" s="5" t="s">
        <v>154</v>
      </c>
      <c r="I21" s="5" t="s">
        <v>57</v>
      </c>
      <c r="J21" s="5"/>
      <c r="K21" s="5"/>
      <c r="L21" s="5">
        <v>2288.13</v>
      </c>
      <c r="M21" s="5">
        <v>2700</v>
      </c>
      <c r="N21" s="5"/>
      <c r="O21" s="5"/>
      <c r="P21" s="10"/>
      <c r="Q21" s="12" t="s">
        <v>156</v>
      </c>
      <c r="R21" s="13"/>
      <c r="S21" s="22"/>
      <c r="T21" s="40"/>
      <c r="U21" s="40"/>
      <c r="V21" s="40"/>
      <c r="W21" s="40"/>
      <c r="X21" s="40"/>
      <c r="Y21" s="40"/>
      <c r="Z21" s="40"/>
      <c r="AA21" s="40"/>
      <c r="AB21" s="40"/>
    </row>
    <row r="22" spans="1:28">
      <c r="A22" s="40"/>
      <c r="B22" s="40" t="s">
        <v>228</v>
      </c>
      <c r="C22" s="31">
        <v>1</v>
      </c>
      <c r="D22" s="31" t="s">
        <v>54</v>
      </c>
      <c r="E22" s="31" t="s">
        <v>54</v>
      </c>
      <c r="F22" s="31" t="s">
        <v>109</v>
      </c>
      <c r="G22" s="5" t="s">
        <v>230</v>
      </c>
      <c r="H22" s="5" t="s">
        <v>56</v>
      </c>
      <c r="I22" s="5" t="s">
        <v>57</v>
      </c>
      <c r="J22" s="5"/>
      <c r="K22" s="5"/>
      <c r="L22" s="9">
        <f>M22*100/118</f>
        <v>1694.9152542372881</v>
      </c>
      <c r="M22" s="5">
        <v>2000</v>
      </c>
      <c r="N22" s="10">
        <f>IFERROR(K22*M22,0)</f>
        <v>0</v>
      </c>
      <c r="O22" s="5"/>
      <c r="P22" s="5"/>
      <c r="Q22" s="12">
        <v>0.5</v>
      </c>
      <c r="R22" s="10"/>
      <c r="S22" s="117" t="s">
        <v>70</v>
      </c>
      <c r="T22" s="83">
        <v>0.5</v>
      </c>
      <c r="U22" s="10"/>
      <c r="V22" s="117" t="s">
        <v>62</v>
      </c>
      <c r="W22" s="83"/>
      <c r="X22" s="10"/>
      <c r="Y22" s="84"/>
      <c r="Z22" s="83"/>
      <c r="AA22" s="10"/>
      <c r="AB22" s="84"/>
    </row>
    <row r="23" spans="1:28">
      <c r="A23" s="40"/>
      <c r="B23" s="40" t="s">
        <v>250</v>
      </c>
      <c r="C23" s="31">
        <v>1</v>
      </c>
      <c r="D23" s="31" t="s">
        <v>54</v>
      </c>
      <c r="E23" s="31" t="s">
        <v>54</v>
      </c>
      <c r="F23" s="31" t="s">
        <v>109</v>
      </c>
      <c r="G23" s="5" t="s">
        <v>229</v>
      </c>
      <c r="H23" s="5" t="s">
        <v>56</v>
      </c>
      <c r="I23" s="5" t="s">
        <v>57</v>
      </c>
      <c r="J23" s="5"/>
      <c r="K23" s="5"/>
      <c r="L23" s="9">
        <f>M23*100/118</f>
        <v>2000</v>
      </c>
      <c r="M23" s="5">
        <v>2360</v>
      </c>
      <c r="N23" s="10">
        <f>IFERROR(K23*M23,0)</f>
        <v>0</v>
      </c>
      <c r="O23" s="5"/>
      <c r="P23" s="5"/>
      <c r="Q23" s="12">
        <v>0.5</v>
      </c>
      <c r="R23" s="10"/>
      <c r="S23" s="117" t="s">
        <v>70</v>
      </c>
      <c r="T23" s="83">
        <v>0.5</v>
      </c>
      <c r="U23" s="10"/>
      <c r="V23" s="117" t="s">
        <v>63</v>
      </c>
      <c r="W23" s="83"/>
      <c r="X23" s="10"/>
      <c r="Y23" s="84"/>
      <c r="Z23" s="83"/>
      <c r="AA23" s="10"/>
      <c r="AB23" s="84"/>
    </row>
  </sheetData>
  <mergeCells count="7">
    <mergeCell ref="O11:O13"/>
    <mergeCell ref="AR3:AR4"/>
    <mergeCell ref="AD2:AO2"/>
    <mergeCell ref="Q3:S3"/>
    <mergeCell ref="T3:V3"/>
    <mergeCell ref="W3:Y3"/>
    <mergeCell ref="Z3:AB3"/>
  </mergeCells>
  <conditionalFormatting sqref="B5">
    <cfRule type="duplicateValues" dxfId="8" priority="9"/>
  </conditionalFormatting>
  <conditionalFormatting sqref="B6">
    <cfRule type="duplicateValues" dxfId="7" priority="8"/>
  </conditionalFormatting>
  <conditionalFormatting sqref="B7">
    <cfRule type="duplicateValues" dxfId="6" priority="7"/>
  </conditionalFormatting>
  <conditionalFormatting sqref="B8">
    <cfRule type="duplicateValues" dxfId="5" priority="6"/>
  </conditionalFormatting>
  <conditionalFormatting sqref="B9">
    <cfRule type="duplicateValues" dxfId="4" priority="5"/>
  </conditionalFormatting>
  <conditionalFormatting sqref="B10">
    <cfRule type="duplicateValues" dxfId="3" priority="4"/>
  </conditionalFormatting>
  <conditionalFormatting sqref="B11:B14">
    <cfRule type="duplicateValues" dxfId="2" priority="3"/>
  </conditionalFormatting>
  <conditionalFormatting sqref="B15">
    <cfRule type="duplicateValues" dxfId="1" priority="2"/>
  </conditionalFormatting>
  <conditionalFormatting sqref="B16:B1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2025-2026</vt:lpstr>
      <vt:lpstr>Sheet4</vt:lpstr>
      <vt:lpstr>Billing details _PD</vt:lpstr>
      <vt:lpstr>2025-26_Proforma Invoice_PD</vt:lpstr>
      <vt:lpstr>Sheet2</vt:lpstr>
      <vt:lpstr>Sheet1</vt:lpstr>
      <vt:lpstr>2026-27-PD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Pranav Bhardwaj</dc:creator>
  <cp:keywords/>
  <dc:description/>
  <cp:lastModifiedBy>Anita Choudhary/GSL</cp:lastModifiedBy>
  <cp:revision/>
  <dcterms:created xsi:type="dcterms:W3CDTF">2015-06-05T18:17:00Z</dcterms:created>
  <dcterms:modified xsi:type="dcterms:W3CDTF">2026-05-15T12:00:57Z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90930041F6C64AAD9DBF4DFD45871437_13</vt:lpwstr>
  </property>
  <property fmtid="{D5CDD505-2E9C-101B-9397-08002B2CF9AE}" pid="3" name="KSOProductBuildVer">
    <vt:lpwstr>1033-12.2.0.20795</vt:lpwstr>
  </property>
</Properties>
</file>