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aftechnologies-my.sharepoint.com/personal/ujaccounts_getsetlearn_info/Documents/MTPL/Vendor_agreement/MOU/Sales - MOU/FY26-27/"/>
    </mc:Choice>
  </mc:AlternateContent>
  <xr:revisionPtr revIDLastSave="2852" documentId="13_ncr:1_{90D3293F-4003-405B-AB81-715DE87BE3AF}" xr6:coauthVersionLast="47" xr6:coauthVersionMax="47" xr10:uidLastSave="{A31438B4-6C4A-4094-959C-DCA061FEF148}"/>
  <bookViews>
    <workbookView xWindow="-120" yWindow="-120" windowWidth="20730" windowHeight="11040" firstSheet="1" activeTab="2" xr2:uid="{00000000-000D-0000-FFFF-FFFF00000000}"/>
  </bookViews>
  <sheets>
    <sheet name="Pratik" sheetId="1" state="hidden" r:id="rId1"/>
    <sheet name="TW" sheetId="3" r:id="rId2"/>
    <sheet name="Cretile " sheetId="4" r:id="rId3"/>
    <sheet name="Hardware " sheetId="5" r:id="rId4"/>
  </sheets>
  <definedNames>
    <definedName name="_xlnm._FilterDatabase" localSheetId="2" hidden="1">'Cretile '!$A$2:$AL$96</definedName>
    <definedName name="_xlnm._FilterDatabase" localSheetId="1" hidden="1">TW!$A$2:$AT$90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4" l="1"/>
  <c r="H60" i="4"/>
  <c r="J59" i="4"/>
  <c r="J58" i="4"/>
  <c r="J57" i="4"/>
  <c r="J56" i="4"/>
  <c r="J55" i="4"/>
  <c r="J54" i="4"/>
  <c r="J53" i="4"/>
  <c r="J52" i="4"/>
  <c r="J51" i="4"/>
  <c r="J50" i="4"/>
  <c r="J60" i="4" s="1"/>
  <c r="N42" i="4"/>
  <c r="N46" i="4" s="1"/>
  <c r="M42" i="4"/>
  <c r="M46" i="4" s="1"/>
  <c r="L42" i="4"/>
  <c r="L46" i="4" s="1"/>
  <c r="K42" i="4"/>
  <c r="K46" i="4" s="1"/>
  <c r="J42" i="4"/>
  <c r="J46" i="4" s="1"/>
  <c r="I42" i="4"/>
  <c r="I46" i="4" s="1"/>
  <c r="H42" i="4"/>
  <c r="H46" i="4" s="1"/>
  <c r="G42" i="4"/>
  <c r="G46" i="4" s="1"/>
  <c r="F42" i="4"/>
  <c r="F46" i="4" s="1"/>
  <c r="E42" i="4"/>
  <c r="E46" i="4" s="1"/>
  <c r="O8" i="5"/>
  <c r="O6" i="5"/>
  <c r="O5" i="5"/>
  <c r="Y2" i="4" l="1"/>
  <c r="AG2" i="3" l="1"/>
  <c r="O26" i="1" l="1"/>
  <c r="AC3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W26" i="1"/>
  <c r="V26" i="1"/>
  <c r="U26" i="1"/>
  <c r="T26" i="1"/>
  <c r="S26" i="1"/>
  <c r="R26" i="1"/>
  <c r="Q26" i="1"/>
  <c r="P26" i="1"/>
  <c r="M3" i="1" l="1"/>
  <c r="J11" i="1"/>
  <c r="J10" i="1"/>
  <c r="J9" i="1"/>
  <c r="J8" i="1"/>
  <c r="J6" i="1"/>
  <c r="J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tc={7B69F2D6-4CF3-4EA2-91AA-EAD7B8B15435}</author>
  </authors>
  <commentList>
    <comment ref="G7" authorId="0" shapeId="0" xr:uid="{7B69F2D6-4CF3-4EA2-91AA-EAD7B8B15435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check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tc={6DEA1F6D-512A-475C-89E1-4CABA6277785}</author>
  </authors>
  <commentList>
    <comment ref="M82" authorId="0" shapeId="0" xr:uid="{6DEA1F6D-512A-475C-89E1-4CABA62777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Replacement kits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tc={4182B9EB-3161-4550-A0BB-9C24BE409CB1}</author>
  </authors>
  <commentList>
    <comment ref="K88" authorId="0" shapeId="0" xr:uid="{4182B9EB-3161-4550-A0BB-9C24BE409C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Replacement kits
</t>
      </text>
    </comment>
  </commentList>
</comments>
</file>

<file path=xl/sharedStrings.xml><?xml version="1.0" encoding="utf-8"?>
<sst xmlns="http://schemas.openxmlformats.org/spreadsheetml/2006/main" count="614" uniqueCount="350">
  <si>
    <t>in stock reuable</t>
  </si>
  <si>
    <t>Sr No</t>
  </si>
  <si>
    <t>School Name</t>
  </si>
  <si>
    <t>Address</t>
  </si>
  <si>
    <t>Contact Person</t>
  </si>
  <si>
    <t>Contact Numbers</t>
  </si>
  <si>
    <t>Requirement</t>
  </si>
  <si>
    <t>Quantity</t>
  </si>
  <si>
    <t>Delivery Note</t>
  </si>
  <si>
    <t>Toatal No. of Students</t>
  </si>
  <si>
    <t>Sales Price per student (Including GST)</t>
  </si>
  <si>
    <t>No. of Students for which kits are sent in 1st Slot</t>
  </si>
  <si>
    <t>Invoice Amount (Incl. GST)</t>
  </si>
  <si>
    <t>w/o GST</t>
  </si>
  <si>
    <t>P3</t>
  </si>
  <si>
    <t>AE2 (3to 4)</t>
  </si>
  <si>
    <t>LP</t>
  </si>
  <si>
    <t>SB</t>
  </si>
  <si>
    <t>TEX</t>
  </si>
  <si>
    <t>PP</t>
  </si>
  <si>
    <t>TB</t>
  </si>
  <si>
    <t>TSYN</t>
  </si>
  <si>
    <t>MC</t>
  </si>
  <si>
    <t>SL</t>
  </si>
  <si>
    <t>Tech A Sketch</t>
  </si>
  <si>
    <t>Tpy</t>
  </si>
  <si>
    <t>Total</t>
  </si>
  <si>
    <t>1. Durgapur-Carmel Convent High School, Durgapur</t>
  </si>
  <si>
    <t>Fuljhore Road, Fuljhore, Kaliganj, Durgapur, West Bengal 713210</t>
  </si>
  <si>
    <t>Ms. Sandra Sneha Nath</t>
  </si>
  <si>
    <t>Push Pull Pin, Art Electric-2 , Launchpad and Sensorbot</t>
  </si>
  <si>
    <t>P3- 70 AE2- 70, LP-70, SB-70</t>
  </si>
  <si>
    <t>DC-00216</t>
  </si>
  <si>
    <t>2. Durgapur-Carmel School, Durgapur</t>
  </si>
  <si>
    <t>Guru Nanak Rd, B-Zone, Durgapur, West Bengal - 713205</t>
  </si>
  <si>
    <t>Biswajit Das</t>
  </si>
  <si>
    <t>DC-00217</t>
  </si>
  <si>
    <t>3.  Bandel-Don Bosco School, Bandel</t>
  </si>
  <si>
    <t>Avinash, Abinash Chandra Mukherjee Rd, Sahaganj, Bandel, Chinsurah, West Bengal 712103</t>
  </si>
  <si>
    <t>Mr. Anindya Lahiri</t>
  </si>
  <si>
    <t>TinkrExplorer</t>
  </si>
  <si>
    <t>TEX-20</t>
  </si>
  <si>
    <t>DC-00218</t>
  </si>
  <si>
    <t>4.Kolkata-Loreto Day School, Bow bazar</t>
  </si>
  <si>
    <t>Loreto Day School, 65, B B Ganguly Street, Bow Bazar, Kolkata - 700012</t>
  </si>
  <si>
    <t>Arinkit Das</t>
  </si>
  <si>
    <t>Push Pull Pin, Pampered Plant,Tinkrbot,Launchpad Sensorbot</t>
  </si>
  <si>
    <t>P3-27,PP-27,LP-27,TB-27,SB-27</t>
  </si>
  <si>
    <t>DC-00219</t>
  </si>
  <si>
    <t>5.Loreto House - Kolkata</t>
  </si>
  <si>
    <r>
      <t> </t>
    </r>
    <r>
      <rPr>
        <sz val="11"/>
        <color theme="1"/>
        <rFont val="Calibri"/>
        <family val="2"/>
        <scheme val="minor"/>
      </rPr>
      <t>7, Sir William Jones Sarani, Park Street area, Kolkata, West Bengal -700071</t>
    </r>
  </si>
  <si>
    <t>P3-27,PP-27,LP-27,TB-35,SB-35</t>
  </si>
  <si>
    <t>DC-00220</t>
  </si>
  <si>
    <t>as per mail date 27.3.25</t>
  </si>
  <si>
    <t>6. Elgin - Julien Day  School, Elgin Road</t>
  </si>
  <si>
    <t>35E, Elgin Rd, Sreepally, Bhowanipore, Kolkata, West Bengal - 700020</t>
  </si>
  <si>
    <t>Debasish Sir</t>
  </si>
  <si>
    <t>Launchpad,Tinkrbot</t>
  </si>
  <si>
    <t>LP-25,Tinkrbot-70</t>
  </si>
  <si>
    <t>DC-00221</t>
  </si>
  <si>
    <t>7. Kalyani-Julien Day  School, Kalyani </t>
  </si>
  <si>
    <t>A-10, School Area, Kalyani, West Bengal -741235</t>
  </si>
  <si>
    <t>Mrinmoy Chatterjee</t>
  </si>
  <si>
    <t>LP-25,Tinkrbot-60</t>
  </si>
  <si>
    <t>DC-00222</t>
  </si>
  <si>
    <t>8. Ganganagar-Julien Day  School, Ganganagar </t>
  </si>
  <si>
    <t>Old Jessore Road, Ganganagar, Madhyamgram, Kolkata, West Bengal -700132</t>
  </si>
  <si>
    <t>Sudeb Banerjee</t>
  </si>
  <si>
    <t>LP-25,Tinkrbot-50</t>
  </si>
  <si>
    <t>DC-00223</t>
  </si>
  <si>
    <t>9.  Howrah-Julien Day  School, Howrah </t>
  </si>
  <si>
    <t>Kona Expy, Nibra, Howrah, West Bengal - 711409</t>
  </si>
  <si>
    <t>Pinaki Sir</t>
  </si>
  <si>
    <t>DC-00224</t>
  </si>
  <si>
    <t>10. Noida – BGS Vijnatham School</t>
  </si>
  <si>
    <t>Once we get the contact details will raise it separately</t>
  </si>
  <si>
    <t>11. Kolkata – Contai Public School</t>
  </si>
  <si>
    <t>AT - DAKSHIN GOPINATHPUR, P. O. - CONTAI SUPER MARKET, P. S. - JUNPUT COASTAL DISTT- PURBA MEDINIPUR :: WEST BENGAL :: INDIA-721 402</t>
  </si>
  <si>
    <t>D Das</t>
  </si>
  <si>
    <t>Launchpad</t>
  </si>
  <si>
    <t>LP-25</t>
  </si>
  <si>
    <t>DC-00225</t>
  </si>
  <si>
    <t>12. Kolkata – Young Horizon School</t>
  </si>
  <si>
    <t>220, Barakhola, Eastern Metropolitan Bypass, Kalikapur, Kolkata, West Bengal - 700099</t>
  </si>
  <si>
    <t>Arijita Biswas</t>
  </si>
  <si>
    <r>
      <t xml:space="preserve">Art Electric2, </t>
    </r>
    <r>
      <rPr>
        <sz val="11"/>
        <color rgb="FFFF0000"/>
        <rFont val="Calibri"/>
        <family val="2"/>
        <scheme val="minor"/>
      </rPr>
      <t>Tinkrbot to MC</t>
    </r>
  </si>
  <si>
    <t>Art Electric2-13,TB-15</t>
  </si>
  <si>
    <t>DC-00226</t>
  </si>
  <si>
    <t>kits change TB to MC</t>
  </si>
  <si>
    <t>13. Kolkata – Swarnim International School</t>
  </si>
  <si>
    <t>180, Netaji Subhash Chandra Bose Rd, Kodalla, Harinavi, Rajpur Sonarpur, Kolkata , West Bengal - 700146</t>
  </si>
  <si>
    <t>Jenefar ma'am</t>
  </si>
  <si>
    <t>03324774052/03324774001</t>
  </si>
  <si>
    <t>Push Pull Pin, Pampered Plant,Launchpad Sensorbot</t>
  </si>
  <si>
    <t>P3-22,PP-22,LP-22,SB-12</t>
  </si>
  <si>
    <t>DC-00227</t>
  </si>
  <si>
    <t>14. Kolkata – St. Paul’s Mission School ,Kolkata</t>
  </si>
  <si>
    <t>5, Scott Ln, Baithakkhana, Kolkata, West Bengal -700009</t>
  </si>
  <si>
    <t>Mr. Sudeb Bose</t>
  </si>
  <si>
    <t>Push Pull Pin,Pampered Plant,Launchpad,Tinkrbot</t>
  </si>
  <si>
    <t>P3-20,PP-20,LP-20,TB-40</t>
  </si>
  <si>
    <t>DC-00228</t>
  </si>
  <si>
    <t>15. Kolkata – St. Paul Boarding and Day School</t>
  </si>
  <si>
    <t>68, Diamond Harbour Rd, Ekbalpur, Khidirpur, Kolkata, West Bengal 700023</t>
  </si>
  <si>
    <t>Rosamma Shaji</t>
  </si>
  <si>
    <t>Tinkrbot,Sensorbot</t>
  </si>
  <si>
    <t>TB-30,SB-30</t>
  </si>
  <si>
    <t>DC-00229</t>
  </si>
  <si>
    <t>16. Kolkata – Lions Calcutta Greater Vidya Mandir</t>
  </si>
  <si>
    <t>Chowhati Battola Bazar, Rajpur, Rajpur Sonarpur, West Bengal 700149</t>
  </si>
  <si>
    <t>Ms. Payel Banerjee</t>
  </si>
  <si>
    <t>Pampered Plant, Launchpad</t>
  </si>
  <si>
    <t>PP-35,LP35</t>
  </si>
  <si>
    <t>DC-00230</t>
  </si>
  <si>
    <t>17. Dehradun – Doon School</t>
  </si>
  <si>
    <t>18. Kolkata – St. John’s School, Kolkata</t>
  </si>
  <si>
    <t>Narayanpur Battala, Rajarhat Gopalpur, Kolkata, West Bengal - 700136</t>
  </si>
  <si>
    <t>Moni Da</t>
  </si>
  <si>
    <t>Launchpad,Tinkrsynth,Tinkrbot,MorseCoding</t>
  </si>
  <si>
    <t>LP-19,TSYN-10,TB-17,MC-17</t>
  </si>
  <si>
    <t>DC-00231</t>
  </si>
  <si>
    <t>19. Kolkata--Lakshmipath Singhania Academy</t>
  </si>
  <si>
    <t xml:space="preserve">Laxmipat Singhania Education Foundation (LSA)
12-B, Alipore Road, Alipore, Kolkata
West Bengal - 700027  
</t>
  </si>
  <si>
    <t xml:space="preserve">Contact Person / School Administrator details - Dipankar Paul </t>
  </si>
  <si>
    <t>(83348 89102)</t>
  </si>
  <si>
    <t>DC-00232</t>
  </si>
  <si>
    <t>400+</t>
  </si>
  <si>
    <t>Doon Scholars School</t>
  </si>
  <si>
    <t>Shivam Vihar, Doon University Road, Doon University Campus,Kedarpur, Dehradun, Uttarakhand 248001,</t>
  </si>
  <si>
    <t xml:space="preserve"> Ragini Nagi Head HR</t>
  </si>
  <si>
    <t xml:space="preserve">Class 1-57 strength kits 17 P3
Class 2-50 strength kits 15 smart lamp
Class 3-43 strength kits 15 pampered plant
Class 4 -44 strength kits 15 track a sketch 
Class 5-38 strength kits 20 LP
Class 6-35 strength kits 8 TS
Class 7-35 strength kits 8 Tex
Class 8-22 strength kits 4 Tpy
Class 9-18 strength kits 4 Tpy </t>
  </si>
  <si>
    <t>P3-17,SM-15,PP-15,Tech A-15,LP-20,TS-8,Tex-8,Tpy-8</t>
  </si>
  <si>
    <t>WB Pending School Delivery Request</t>
  </si>
  <si>
    <t>Location</t>
  </si>
  <si>
    <t>TPY</t>
  </si>
  <si>
    <t>Delivery challan _18.04.25</t>
  </si>
  <si>
    <t>Eway bill applicability</t>
  </si>
  <si>
    <t>BB</t>
  </si>
  <si>
    <t>Loreto Day School</t>
  </si>
  <si>
    <t>DC-0013</t>
  </si>
  <si>
    <t>EW</t>
  </si>
  <si>
    <t>HOUSE</t>
  </si>
  <si>
    <t>Loreto STEEL</t>
  </si>
  <si>
    <t>DC-0014</t>
  </si>
  <si>
    <t>5 ELGINE ROAD</t>
  </si>
  <si>
    <t>Julien Day Group of School</t>
  </si>
  <si>
    <t>DC-0015</t>
  </si>
  <si>
    <t>NA</t>
  </si>
  <si>
    <t>KALYANI</t>
  </si>
  <si>
    <t>DC-0016</t>
  </si>
  <si>
    <t>GANGANAGAR</t>
  </si>
  <si>
    <t>DC-0017</t>
  </si>
  <si>
    <t>HOWRAH</t>
  </si>
  <si>
    <t>DC-0018</t>
  </si>
  <si>
    <t>KOLKATA</t>
  </si>
  <si>
    <t>CONTAI PUBLIC SCHOOL</t>
  </si>
  <si>
    <t>DC-0019</t>
  </si>
  <si>
    <t>SWARNIM INTERNATIONAL SCHOOL</t>
  </si>
  <si>
    <t>DC-0020</t>
  </si>
  <si>
    <t>ST PAUL BOARDING DAY SCHOOL</t>
  </si>
  <si>
    <t>DC-0021</t>
  </si>
  <si>
    <t>Lakshmipat Singhania</t>
  </si>
  <si>
    <t>DC-0022</t>
  </si>
  <si>
    <t>Bandel</t>
  </si>
  <si>
    <t>Don Bosco School</t>
  </si>
  <si>
    <t>DC-0023</t>
  </si>
  <si>
    <t>St. Pauls Mission School</t>
  </si>
  <si>
    <t>DC-0024</t>
  </si>
  <si>
    <t>Shaw Public School</t>
  </si>
  <si>
    <t>DC-0025</t>
  </si>
  <si>
    <t>Lions Calcutta Greater Vidya Mandir</t>
  </si>
  <si>
    <t>DC-0026</t>
  </si>
  <si>
    <t>Concern person</t>
  </si>
  <si>
    <t>T-Aske</t>
  </si>
  <si>
    <t>SA</t>
  </si>
  <si>
    <t>WS</t>
  </si>
  <si>
    <t>SLPK</t>
  </si>
  <si>
    <t xml:space="preserve">TSYN </t>
  </si>
  <si>
    <t>AEG 1-2</t>
  </si>
  <si>
    <t>AEG 3-5</t>
  </si>
  <si>
    <t>P3 K-8</t>
  </si>
  <si>
    <t>TBOT</t>
  </si>
  <si>
    <t>Date Mar/apr</t>
  </si>
  <si>
    <t>Billing Remark</t>
  </si>
  <si>
    <t>No of Students</t>
  </si>
  <si>
    <t>Remarks- Kits Return</t>
  </si>
  <si>
    <t>Kit Cost</t>
  </si>
  <si>
    <t>PD</t>
  </si>
  <si>
    <t>Mahrishi Dayanand School</t>
  </si>
  <si>
    <t>Grade 3</t>
  </si>
  <si>
    <t>Grade 4</t>
  </si>
  <si>
    <t>Grade 5</t>
  </si>
  <si>
    <t>Grade 6</t>
  </si>
  <si>
    <t>Grade 7</t>
  </si>
  <si>
    <t>Grade 9</t>
  </si>
  <si>
    <t>DC no</t>
  </si>
  <si>
    <t>DC-0225</t>
  </si>
  <si>
    <t>Sale person</t>
  </si>
  <si>
    <t>Embee Rosebud Hr.Sec. School</t>
  </si>
  <si>
    <t xml:space="preserve">The Learning Sactuary </t>
  </si>
  <si>
    <t>Hirak</t>
  </si>
  <si>
    <t>DC-0226</t>
  </si>
  <si>
    <t>Y</t>
  </si>
  <si>
    <t>DC-0227</t>
  </si>
  <si>
    <r>
      <t>Aarohi Bharti</t>
    </r>
    <r>
      <rPr>
        <sz val="12"/>
        <color rgb="FF000000"/>
        <rFont val="Aptos"/>
        <family val="2"/>
      </rPr>
      <t> </t>
    </r>
  </si>
  <si>
    <t>Training</t>
  </si>
  <si>
    <t>DC-0228</t>
  </si>
  <si>
    <t>Rootland Sec. School</t>
  </si>
  <si>
    <t>DC-0229</t>
  </si>
  <si>
    <t>Loreto Day School, Bow Bazar-Kolkata</t>
  </si>
  <si>
    <t>Loreto House - Kolkata</t>
  </si>
  <si>
    <t>Julien Day  School, Elgin Road</t>
  </si>
  <si>
    <t>Julien Day  School, Kalyani </t>
  </si>
  <si>
    <t>Julien Day  School, Ganganagar </t>
  </si>
  <si>
    <t>Julien Day  School, Howrah </t>
  </si>
  <si>
    <t>St. Paul’s Mission School ,Kolkata</t>
  </si>
  <si>
    <t>St. Paul's Boarding And Day School</t>
  </si>
  <si>
    <t>Carmel Convent High School, Durgapur</t>
  </si>
  <si>
    <t>Carmel School, Durgapur</t>
  </si>
  <si>
    <t>St. Montfort's Senior Secondary School</t>
  </si>
  <si>
    <t>The Scottish Church Collegiate School</t>
  </si>
  <si>
    <t>St. Johns High School</t>
  </si>
  <si>
    <t>Prodipto</t>
  </si>
  <si>
    <t>TBS</t>
  </si>
  <si>
    <t>DC-0231</t>
  </si>
  <si>
    <t>DC-0232</t>
  </si>
  <si>
    <t>DC-0233</t>
  </si>
  <si>
    <t>DC-0234</t>
  </si>
  <si>
    <t>DC-0235</t>
  </si>
  <si>
    <t>DC-0236</t>
  </si>
  <si>
    <t>DC-0237</t>
  </si>
  <si>
    <t>DC-0238</t>
  </si>
  <si>
    <t>DC-0239</t>
  </si>
  <si>
    <t>DC-0240</t>
  </si>
  <si>
    <t>DC-0241</t>
  </si>
  <si>
    <t>DC-0242</t>
  </si>
  <si>
    <t>DC-0243</t>
  </si>
  <si>
    <t>DC-0244</t>
  </si>
  <si>
    <t>Holy Child English Academy - Malda</t>
  </si>
  <si>
    <t>DC-0245</t>
  </si>
  <si>
    <t>Blue Angels Global School</t>
  </si>
  <si>
    <t>Grade 1</t>
  </si>
  <si>
    <t>Grade 2</t>
  </si>
  <si>
    <t>Roveena</t>
  </si>
  <si>
    <t>DC_MH_01</t>
  </si>
  <si>
    <t>Darshan Academy_Devlali</t>
  </si>
  <si>
    <t xml:space="preserve">Suresh </t>
  </si>
  <si>
    <t>DC-001</t>
  </si>
  <si>
    <t>y</t>
  </si>
  <si>
    <t>VEX GO Small Classroom Bundle</t>
  </si>
  <si>
    <t>VEX GO Classroom Bundle</t>
  </si>
  <si>
    <t>VG</t>
  </si>
  <si>
    <t>MTPL/UP/2627/1</t>
  </si>
  <si>
    <t>Grade 2- 4</t>
  </si>
  <si>
    <t>Kavyapta Global School</t>
  </si>
  <si>
    <t>4017</t>
  </si>
  <si>
    <t>Direct to school</t>
  </si>
  <si>
    <t>K.E. Carmel-Amtala</t>
  </si>
  <si>
    <t>Ranotosh</t>
  </si>
  <si>
    <t>Grade 10</t>
  </si>
  <si>
    <t>4019</t>
  </si>
  <si>
    <t>St. Mary's Convent High School</t>
  </si>
  <si>
    <t>4021</t>
  </si>
  <si>
    <t>Don Bosco School Krishnanagar,</t>
  </si>
  <si>
    <t>4023</t>
  </si>
  <si>
    <t>Sabyasachi</t>
  </si>
  <si>
    <t>4024</t>
  </si>
  <si>
    <t>Delhi World Public School- Barasat</t>
  </si>
  <si>
    <t>4026</t>
  </si>
  <si>
    <t>4027</t>
  </si>
  <si>
    <t>4028</t>
  </si>
  <si>
    <t>4030</t>
  </si>
  <si>
    <t>4031</t>
  </si>
  <si>
    <t>4032</t>
  </si>
  <si>
    <t>Grade -8</t>
  </si>
  <si>
    <t>Smart Board</t>
  </si>
  <si>
    <t xml:space="preserve">Tab </t>
  </si>
  <si>
    <t>Price</t>
  </si>
  <si>
    <t>Projector</t>
  </si>
  <si>
    <t>Drones</t>
  </si>
  <si>
    <t xml:space="preserve">keyboards and mice </t>
  </si>
  <si>
    <t>Printer</t>
  </si>
  <si>
    <t>Carmel Convent High School</t>
  </si>
  <si>
    <t>St. Mary’s Convent School</t>
  </si>
  <si>
    <t>St. John’s High School</t>
  </si>
  <si>
    <t xml:space="preserve">Bluetooth Modules </t>
  </si>
  <si>
    <t>Blue Angle School</t>
  </si>
  <si>
    <t>SM</t>
  </si>
  <si>
    <t>Sumit</t>
  </si>
  <si>
    <t>cash given to PB Rs 30 K invoice pending</t>
  </si>
  <si>
    <r>
      <t>Loreto House</t>
    </r>
    <r>
      <rPr>
        <sz val="11"/>
        <color rgb="FF000000"/>
        <rFont val="Calibri"/>
        <family val="2"/>
        <scheme val="minor"/>
      </rPr>
      <t> </t>
    </r>
  </si>
  <si>
    <r>
      <t>Contai Public School</t>
    </r>
    <r>
      <rPr>
        <sz val="11"/>
        <color rgb="FF000000"/>
        <rFont val="Calibri"/>
        <family val="2"/>
        <scheme val="minor"/>
      </rPr>
      <t> </t>
    </r>
  </si>
  <si>
    <t>Tathasu</t>
  </si>
  <si>
    <t>DC-006</t>
  </si>
  <si>
    <t>Laxmipat Singhania Academy</t>
  </si>
  <si>
    <t>Contai Public School</t>
  </si>
  <si>
    <t>Prodipto / Avishek</t>
  </si>
  <si>
    <t>DC-007</t>
  </si>
  <si>
    <t>DC-008</t>
  </si>
  <si>
    <t>Lab -setup</t>
  </si>
  <si>
    <t>Trainer Cost</t>
  </si>
  <si>
    <t>K E Carmel School, Suri</t>
  </si>
  <si>
    <t>4049</t>
  </si>
  <si>
    <t>4050</t>
  </si>
  <si>
    <t>4052</t>
  </si>
  <si>
    <t>4054</t>
  </si>
  <si>
    <t>Rajesh Perumal</t>
  </si>
  <si>
    <t>4057</t>
  </si>
  <si>
    <t>Pallavi Tatawati</t>
  </si>
  <si>
    <t>4059</t>
  </si>
  <si>
    <t>Prashant Mishra</t>
  </si>
  <si>
    <t>4061</t>
  </si>
  <si>
    <t>4063</t>
  </si>
  <si>
    <t>B.D. Memorial Jr. School - Garia</t>
  </si>
  <si>
    <t>B.D. Memorial Jr. School - Golf Garden</t>
  </si>
  <si>
    <t>B.D. Memorial Jr. School - Bansdroni</t>
  </si>
  <si>
    <t>B.D. Memorial Jr. School - Vijaygarh</t>
  </si>
  <si>
    <t>4065</t>
  </si>
  <si>
    <t>4067</t>
  </si>
  <si>
    <t>Young Horizons School</t>
  </si>
  <si>
    <t>4069</t>
  </si>
  <si>
    <t>4070</t>
  </si>
  <si>
    <t>St John High School</t>
  </si>
  <si>
    <t>4072</t>
  </si>
  <si>
    <t>BIT Global School</t>
  </si>
  <si>
    <t>Tanuj</t>
  </si>
  <si>
    <t>4097</t>
  </si>
  <si>
    <t>Tathastu</t>
  </si>
  <si>
    <t>4099</t>
  </si>
  <si>
    <t>4100</t>
  </si>
  <si>
    <t>4101</t>
  </si>
  <si>
    <t>4103</t>
  </si>
  <si>
    <t>GMR International School</t>
  </si>
  <si>
    <t>4110</t>
  </si>
  <si>
    <t>Christ Mission School</t>
  </si>
  <si>
    <t>4111</t>
  </si>
  <si>
    <t>4116</t>
  </si>
  <si>
    <t>4117</t>
  </si>
  <si>
    <t>Total Kits recd</t>
  </si>
  <si>
    <t>As per cretile order</t>
  </si>
  <si>
    <t>Diff</t>
  </si>
  <si>
    <t>Kits</t>
  </si>
  <si>
    <t>As per order</t>
  </si>
  <si>
    <t>Difference</t>
  </si>
  <si>
    <t>Grade 8</t>
  </si>
  <si>
    <t>Received</t>
  </si>
  <si>
    <t>Blue Angels Global School (Replacement for damaged kits)</t>
  </si>
  <si>
    <t>DC-009</t>
  </si>
  <si>
    <t>Loreto Convent Entally</t>
  </si>
  <si>
    <t>DC-0010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</si>
</sst>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74747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sz val="10"/>
      <name val="Arial"/>
      <family val="2"/>
    </font>
    <font>
      <sz val="9"/>
      <name val="Aptos Narrow"/>
      <family val="2"/>
    </font>
    <font>
      <sz val="12"/>
      <color rgb="FF000000"/>
      <name val="Aptos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</cellStyleXfs>
  <cellXfs count="82">
    <xf numFmtId="0" fontId="0" fillId="0" borderId="0" xfId="0"/>
    <xf numFmtId="0" fontId="1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/>
    <xf numFmtId="0" fontId="7" fillId="3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6" borderId="0" xfId="0" applyFill="1" applyAlignment="1">
      <alignment vertical="top"/>
    </xf>
    <xf numFmtId="0" fontId="9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top"/>
    </xf>
    <xf numFmtId="14" fontId="0" fillId="0" borderId="6" xfId="0" applyNumberFormat="1" applyBorder="1"/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" xfId="0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8" borderId="1" xfId="0" applyFill="1" applyBorder="1"/>
    <xf numFmtId="0" fontId="9" fillId="7" borderId="7" xfId="0" applyFont="1" applyFill="1" applyBorder="1" applyAlignment="1">
      <alignment horizontal="center"/>
    </xf>
    <xf numFmtId="0" fontId="0" fillId="0" borderId="6" xfId="0" applyBorder="1"/>
    <xf numFmtId="0" fontId="0" fillId="3" borderId="1" xfId="0" applyFill="1" applyBorder="1"/>
    <xf numFmtId="0" fontId="5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/>
    </xf>
    <xf numFmtId="0" fontId="9" fillId="7" borderId="1" xfId="0" applyFont="1" applyFill="1" applyBorder="1"/>
    <xf numFmtId="16" fontId="0" fillId="0" borderId="1" xfId="0" applyNumberFormat="1" applyBorder="1"/>
    <xf numFmtId="16" fontId="0" fillId="0" borderId="6" xfId="0" applyNumberFormat="1" applyBorder="1"/>
    <xf numFmtId="0" fontId="14" fillId="3" borderId="1" xfId="0" applyFont="1" applyFill="1" applyBorder="1" applyAlignment="1">
      <alignment horizontal="center"/>
    </xf>
    <xf numFmtId="0" fontId="0" fillId="9" borderId="1" xfId="0" applyFill="1" applyBorder="1"/>
    <xf numFmtId="0" fontId="9" fillId="7" borderId="5" xfId="0" applyFont="1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9" fillId="7" borderId="0" xfId="0" applyFont="1" applyFill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left"/>
    </xf>
    <xf numFmtId="0" fontId="19" fillId="10" borderId="1" xfId="0" applyFont="1" applyFill="1" applyBorder="1"/>
    <xf numFmtId="0" fontId="2" fillId="10" borderId="1" xfId="0" applyFont="1" applyFill="1" applyBorder="1"/>
    <xf numFmtId="0" fontId="2" fillId="10" borderId="1" xfId="0" applyFont="1" applyFill="1" applyBorder="1" applyAlignment="1">
      <alignment readingOrder="1"/>
    </xf>
    <xf numFmtId="0" fontId="16" fillId="0" borderId="0" xfId="0" applyFont="1" applyAlignment="1">
      <alignment horizontal="center" vertical="center"/>
    </xf>
    <xf numFmtId="0" fontId="20" fillId="11" borderId="1" xfId="1" applyNumberFormat="1" applyFont="1" applyFill="1" applyBorder="1" applyAlignment="1"/>
    <xf numFmtId="0" fontId="20" fillId="11" borderId="1" xfId="2" applyFont="1" applyFill="1" applyBorder="1"/>
    <xf numFmtId="0" fontId="21" fillId="11" borderId="1" xfId="0" applyFont="1" applyFill="1" applyBorder="1"/>
    <xf numFmtId="0" fontId="21" fillId="11" borderId="1" xfId="0" applyFont="1" applyFill="1" applyBorder="1" applyAlignment="1">
      <alignment horizontal="right"/>
    </xf>
    <xf numFmtId="16" fontId="0" fillId="0" borderId="1" xfId="0" quotePrefix="1" applyNumberFormat="1" applyBorder="1"/>
    <xf numFmtId="0" fontId="22" fillId="0" borderId="1" xfId="0" applyFont="1" applyBorder="1" applyAlignment="1">
      <alignment horizontal="left"/>
    </xf>
    <xf numFmtId="0" fontId="9" fillId="7" borderId="6" xfId="0" applyFont="1" applyFill="1" applyBorder="1" applyAlignment="1">
      <alignment horizontal="center"/>
    </xf>
    <xf numFmtId="43" fontId="0" fillId="0" borderId="1" xfId="3" applyFont="1" applyBorder="1"/>
    <xf numFmtId="43" fontId="11" fillId="0" borderId="1" xfId="3" applyFont="1" applyBorder="1" applyAlignment="1">
      <alignment horizontal="left"/>
    </xf>
    <xf numFmtId="0" fontId="23" fillId="0" borderId="1" xfId="0" applyFont="1" applyBorder="1"/>
    <xf numFmtId="0" fontId="11" fillId="0" borderId="1" xfId="0" applyFont="1" applyBorder="1" applyAlignment="1">
      <alignment horizontal="right"/>
    </xf>
    <xf numFmtId="0" fontId="22" fillId="0" borderId="1" xfId="0" applyFont="1" applyBorder="1" applyAlignment="1">
      <alignment horizontal="right"/>
    </xf>
    <xf numFmtId="0" fontId="1" fillId="0" borderId="1" xfId="0" applyFont="1" applyBorder="1"/>
    <xf numFmtId="0" fontId="11" fillId="8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0" fillId="3" borderId="1" xfId="0" applyFont="1" applyFill="1" applyBorder="1" applyAlignment="1">
      <alignment horizontal="center"/>
    </xf>
  </cellXfs>
  <cellStyles count="4">
    <cellStyle name="Comma" xfId="3" builtinId="3"/>
    <cellStyle name="Comma 2" xfId="1" xr:uid="{51321FDF-BB57-4037-B4AC-6AB4C07150EA}"/>
    <cellStyle name="Normal" xfId="0" builtinId="0"/>
    <cellStyle name="Normal 2" xfId="2" xr:uid="{32A47921-6BED-4729-BEA5-310C92DBB66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ita Choudhary/GSL" id="{6C35DD62-44B4-4B11-952C-C955D41C4A53}" userId="S::anita.c@getsetlearn.info::597c4271-c186-43db-805d-72610e18b53a" providerId="AD"/>
  <person displayName="Pranav Bhardwaj/GSL" id="{E872E746-6FF6-4B88-BE8D-00D6037E1A27}" userId="S::pranav.b@getsetlearn.info::7c4c302a-3573-411c-a3f5-0ef5f8ba242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25-03-27T09:50:20.21" personId="{E872E746-6FF6-4B88-BE8D-00D6037E1A27}" id="{7B69F2D6-4CF3-4EA2-91AA-EAD7B8B15435}">
    <text>Please check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82" dT="2025-08-05T05:49:53.54" personId="{6C35DD62-44B4-4B11-952C-C955D41C4A53}" id="{6DEA1F6D-512A-475C-89E1-4CABA6277785}">
    <text xml:space="preserve">Replacement kits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88" dT="2025-08-05T05:49:53.54" personId="{6C35DD62-44B4-4B11-952C-C955D41C4A53}" id="{4182B9EB-3161-4550-A0BB-9C24BE409CB1}">
    <text xml:space="preserve">Replacement kits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workbookViewId="0">
      <pane xSplit="2" ySplit="2" topLeftCell="C8" activePane="bottomRight" state="frozen"/>
      <selection pane="topRight" activeCell="B1" sqref="B1"/>
      <selection pane="bottomLeft" activeCell="A2" sqref="A2"/>
      <selection pane="bottomRight" activeCell="C8" sqref="C8"/>
    </sheetView>
  </sheetViews>
  <sheetFormatPr defaultRowHeight="15" x14ac:dyDescent="0.25"/>
  <cols>
    <col min="2" max="2" width="22" bestFit="1" customWidth="1"/>
    <col min="3" max="3" width="62.140625" customWidth="1"/>
    <col min="4" max="4" width="30.28515625" bestFit="1" customWidth="1"/>
    <col min="5" max="5" width="10.7109375" style="23" bestFit="1" customWidth="1"/>
    <col min="6" max="6" width="16.7109375" customWidth="1"/>
    <col min="7" max="7" width="26.7109375" customWidth="1"/>
    <col min="8" max="8" width="22.28515625" customWidth="1"/>
    <col min="9" max="9" width="19.7109375" bestFit="1" customWidth="1"/>
    <col min="10" max="10" width="20" bestFit="1" customWidth="1"/>
    <col min="11" max="11" width="18.5703125" bestFit="1" customWidth="1"/>
    <col min="13" max="13" width="7.7109375" bestFit="1" customWidth="1"/>
    <col min="14" max="14" width="14" bestFit="1" customWidth="1"/>
    <col min="15" max="15" width="3.7109375" bestFit="1" customWidth="1"/>
    <col min="16" max="16" width="7.7109375" bestFit="1" customWidth="1"/>
    <col min="17" max="21" width="3.7109375" bestFit="1" customWidth="1"/>
    <col min="22" max="22" width="5" bestFit="1" customWidth="1"/>
    <col min="23" max="23" width="20.7109375" bestFit="1" customWidth="1"/>
    <col min="24" max="26" width="20.7109375" customWidth="1"/>
    <col min="27" max="27" width="8.5703125" customWidth="1"/>
  </cols>
  <sheetData>
    <row r="1" spans="1:29" x14ac:dyDescent="0.25">
      <c r="N1" s="16" t="s">
        <v>0</v>
      </c>
      <c r="O1" s="16">
        <v>395</v>
      </c>
      <c r="P1" s="16">
        <v>182</v>
      </c>
      <c r="Q1" s="16">
        <v>998</v>
      </c>
      <c r="R1" s="16">
        <v>413</v>
      </c>
      <c r="S1" s="16">
        <v>41</v>
      </c>
      <c r="T1" s="16">
        <v>160</v>
      </c>
      <c r="U1" s="16">
        <v>429</v>
      </c>
      <c r="V1" s="16">
        <v>335</v>
      </c>
      <c r="W1" s="16">
        <v>392</v>
      </c>
      <c r="X1" s="16"/>
      <c r="Y1" s="16"/>
      <c r="Z1" s="16"/>
      <c r="AA1" s="16"/>
    </row>
    <row r="2" spans="1:29" ht="60" x14ac:dyDescent="0.25">
      <c r="A2" t="s">
        <v>1</v>
      </c>
      <c r="B2" s="2" t="s">
        <v>2</v>
      </c>
      <c r="C2" s="2" t="s">
        <v>3</v>
      </c>
      <c r="D2" s="2" t="s">
        <v>4</v>
      </c>
      <c r="E2" s="2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t="s">
        <v>18</v>
      </c>
      <c r="T2" s="13" t="s">
        <v>19</v>
      </c>
      <c r="U2" s="13" t="s">
        <v>20</v>
      </c>
      <c r="V2" t="s">
        <v>21</v>
      </c>
      <c r="W2" s="13" t="s">
        <v>22</v>
      </c>
      <c r="X2" s="13" t="s">
        <v>23</v>
      </c>
      <c r="Y2" s="13" t="s">
        <v>24</v>
      </c>
      <c r="Z2" s="13" t="s">
        <v>25</v>
      </c>
      <c r="AA2" s="13" t="s">
        <v>26</v>
      </c>
    </row>
    <row r="3" spans="1:29" ht="60" x14ac:dyDescent="0.25">
      <c r="A3">
        <v>1</v>
      </c>
      <c r="B3" s="19" t="s">
        <v>27</v>
      </c>
      <c r="C3" s="3" t="s">
        <v>28</v>
      </c>
      <c r="D3" s="3" t="s">
        <v>29</v>
      </c>
      <c r="E3" s="25">
        <v>9679349905</v>
      </c>
      <c r="F3" s="3" t="s">
        <v>30</v>
      </c>
      <c r="G3" s="3" t="s">
        <v>31</v>
      </c>
      <c r="H3" s="3" t="s">
        <v>32</v>
      </c>
      <c r="I3" s="3">
        <v>900</v>
      </c>
      <c r="J3" s="3">
        <v>2200</v>
      </c>
      <c r="K3" s="9"/>
      <c r="M3">
        <f>I3*J3</f>
        <v>1980000</v>
      </c>
      <c r="O3">
        <v>70</v>
      </c>
      <c r="P3">
        <v>70</v>
      </c>
      <c r="Q3">
        <v>70</v>
      </c>
      <c r="R3">
        <v>70</v>
      </c>
      <c r="S3">
        <v>0</v>
      </c>
      <c r="T3">
        <v>0</v>
      </c>
      <c r="U3">
        <v>0</v>
      </c>
      <c r="AA3">
        <f>SUM(O3:W3)</f>
        <v>280</v>
      </c>
      <c r="AC3">
        <f>ROUNDDOWN(O3/12,0)</f>
        <v>5</v>
      </c>
    </row>
    <row r="4" spans="1:29" ht="60" x14ac:dyDescent="0.25">
      <c r="A4">
        <v>2</v>
      </c>
      <c r="B4" s="19" t="s">
        <v>33</v>
      </c>
      <c r="C4" s="5" t="s">
        <v>34</v>
      </c>
      <c r="D4" s="3" t="s">
        <v>35</v>
      </c>
      <c r="E4" s="25">
        <v>9330503644</v>
      </c>
      <c r="F4" s="3" t="s">
        <v>30</v>
      </c>
      <c r="G4" s="3" t="s">
        <v>31</v>
      </c>
      <c r="H4" s="3" t="s">
        <v>36</v>
      </c>
      <c r="I4" s="3">
        <v>900</v>
      </c>
      <c r="J4" s="3">
        <v>2200</v>
      </c>
      <c r="K4" s="9"/>
      <c r="O4">
        <v>70</v>
      </c>
      <c r="P4">
        <v>70</v>
      </c>
      <c r="Q4">
        <v>70</v>
      </c>
      <c r="R4">
        <v>70</v>
      </c>
      <c r="S4">
        <v>0</v>
      </c>
      <c r="T4">
        <v>0</v>
      </c>
      <c r="U4">
        <v>0</v>
      </c>
      <c r="AA4">
        <f t="shared" ref="AA4:AA21" si="0">SUM(O4:W4)</f>
        <v>280</v>
      </c>
    </row>
    <row r="5" spans="1:29" ht="30" x14ac:dyDescent="0.25">
      <c r="A5">
        <v>3</v>
      </c>
      <c r="B5" s="19" t="s">
        <v>37</v>
      </c>
      <c r="C5" s="5" t="s">
        <v>38</v>
      </c>
      <c r="D5" s="3" t="s">
        <v>39</v>
      </c>
      <c r="E5" s="25">
        <v>9163540768</v>
      </c>
      <c r="F5" s="3" t="s">
        <v>40</v>
      </c>
      <c r="G5" s="3" t="s">
        <v>41</v>
      </c>
      <c r="H5" s="3" t="s">
        <v>42</v>
      </c>
      <c r="I5" s="3">
        <v>575</v>
      </c>
      <c r="J5" s="3">
        <f>2700*118%</f>
        <v>3186</v>
      </c>
      <c r="K5" s="9"/>
      <c r="O5">
        <v>0</v>
      </c>
      <c r="P5">
        <v>0</v>
      </c>
      <c r="Q5">
        <v>0</v>
      </c>
      <c r="R5">
        <v>0</v>
      </c>
      <c r="S5">
        <v>20</v>
      </c>
      <c r="T5">
        <v>0</v>
      </c>
      <c r="U5">
        <v>0</v>
      </c>
      <c r="AA5">
        <f t="shared" si="0"/>
        <v>20</v>
      </c>
    </row>
    <row r="6" spans="1:29" ht="75" x14ac:dyDescent="0.25">
      <c r="A6">
        <v>4</v>
      </c>
      <c r="B6" s="19" t="s">
        <v>43</v>
      </c>
      <c r="C6" s="3" t="s">
        <v>44</v>
      </c>
      <c r="D6" s="3" t="s">
        <v>45</v>
      </c>
      <c r="E6" s="25">
        <v>9735154774</v>
      </c>
      <c r="F6" s="3" t="s">
        <v>46</v>
      </c>
      <c r="G6" s="3" t="s">
        <v>47</v>
      </c>
      <c r="H6" s="3" t="s">
        <v>48</v>
      </c>
      <c r="I6" s="3">
        <v>500</v>
      </c>
      <c r="J6" s="3">
        <f>2500*118%</f>
        <v>2950</v>
      </c>
      <c r="K6" s="9"/>
      <c r="O6">
        <v>27</v>
      </c>
      <c r="P6">
        <v>0</v>
      </c>
      <c r="Q6">
        <v>27</v>
      </c>
      <c r="R6">
        <v>27</v>
      </c>
      <c r="S6">
        <v>0</v>
      </c>
      <c r="T6">
        <v>27</v>
      </c>
      <c r="U6">
        <v>27</v>
      </c>
      <c r="AA6">
        <f t="shared" si="0"/>
        <v>135</v>
      </c>
    </row>
    <row r="7" spans="1:29" ht="31.15" customHeight="1" x14ac:dyDescent="0.25">
      <c r="A7">
        <v>5</v>
      </c>
      <c r="B7" s="20" t="s">
        <v>49</v>
      </c>
      <c r="C7" s="6" t="s">
        <v>50</v>
      </c>
      <c r="D7" s="3" t="s">
        <v>35</v>
      </c>
      <c r="E7" s="25">
        <v>8777376573</v>
      </c>
      <c r="F7" s="3" t="s">
        <v>46</v>
      </c>
      <c r="G7" s="8" t="s">
        <v>51</v>
      </c>
      <c r="H7" s="3" t="s">
        <v>52</v>
      </c>
      <c r="I7" s="9"/>
      <c r="J7" s="9"/>
      <c r="K7" s="9"/>
      <c r="R7">
        <v>25</v>
      </c>
      <c r="U7">
        <v>45</v>
      </c>
      <c r="W7" t="s">
        <v>53</v>
      </c>
      <c r="AA7">
        <f t="shared" si="0"/>
        <v>70</v>
      </c>
    </row>
    <row r="8" spans="1:29" ht="30" x14ac:dyDescent="0.25">
      <c r="A8">
        <v>6</v>
      </c>
      <c r="B8" s="19" t="s">
        <v>54</v>
      </c>
      <c r="C8" s="5" t="s">
        <v>55</v>
      </c>
      <c r="D8" s="3" t="s">
        <v>56</v>
      </c>
      <c r="E8" s="25">
        <v>9874793199</v>
      </c>
      <c r="F8" s="3" t="s">
        <v>57</v>
      </c>
      <c r="G8" s="3" t="s">
        <v>58</v>
      </c>
      <c r="H8" s="3" t="s">
        <v>59</v>
      </c>
      <c r="I8" s="3">
        <v>400</v>
      </c>
      <c r="J8" s="3">
        <f>1800*118%</f>
        <v>2124</v>
      </c>
      <c r="K8" s="9"/>
      <c r="Q8">
        <v>25</v>
      </c>
      <c r="U8">
        <v>70</v>
      </c>
      <c r="AA8">
        <f t="shared" si="0"/>
        <v>95</v>
      </c>
    </row>
    <row r="9" spans="1:29" ht="30" x14ac:dyDescent="0.25">
      <c r="A9">
        <v>7</v>
      </c>
      <c r="B9" s="19" t="s">
        <v>60</v>
      </c>
      <c r="C9" s="7" t="s">
        <v>61</v>
      </c>
      <c r="D9" s="3" t="s">
        <v>62</v>
      </c>
      <c r="E9" s="25">
        <v>8145291001</v>
      </c>
      <c r="F9" s="3" t="s">
        <v>57</v>
      </c>
      <c r="G9" s="3" t="s">
        <v>63</v>
      </c>
      <c r="H9" s="3" t="s">
        <v>64</v>
      </c>
      <c r="I9" s="3">
        <v>400</v>
      </c>
      <c r="J9" s="3">
        <f t="shared" ref="J9:J11" si="1">1800*118%</f>
        <v>2124</v>
      </c>
      <c r="K9" s="9"/>
      <c r="Q9">
        <v>25</v>
      </c>
      <c r="U9">
        <v>60</v>
      </c>
      <c r="AA9">
        <f t="shared" si="0"/>
        <v>85</v>
      </c>
    </row>
    <row r="10" spans="1:29" ht="37.5" customHeight="1" x14ac:dyDescent="0.25">
      <c r="A10">
        <v>8</v>
      </c>
      <c r="B10" s="19" t="s">
        <v>65</v>
      </c>
      <c r="C10" s="3" t="s">
        <v>66</v>
      </c>
      <c r="D10" s="3" t="s">
        <v>67</v>
      </c>
      <c r="E10" s="25">
        <v>7001906699</v>
      </c>
      <c r="F10" s="3" t="s">
        <v>57</v>
      </c>
      <c r="G10" s="3" t="s">
        <v>68</v>
      </c>
      <c r="H10" s="3" t="s">
        <v>69</v>
      </c>
      <c r="I10" s="3">
        <v>400</v>
      </c>
      <c r="J10" s="3">
        <f t="shared" si="1"/>
        <v>2124</v>
      </c>
      <c r="K10" s="9"/>
      <c r="Q10">
        <v>25</v>
      </c>
      <c r="U10">
        <v>50</v>
      </c>
      <c r="AA10">
        <f t="shared" si="0"/>
        <v>75</v>
      </c>
    </row>
    <row r="11" spans="1:29" ht="30" x14ac:dyDescent="0.25">
      <c r="A11">
        <v>9</v>
      </c>
      <c r="B11" s="19" t="s">
        <v>70</v>
      </c>
      <c r="C11" s="3" t="s">
        <v>71</v>
      </c>
      <c r="D11" s="3" t="s">
        <v>72</v>
      </c>
      <c r="E11" s="25">
        <v>9477321211</v>
      </c>
      <c r="F11" s="3" t="s">
        <v>57</v>
      </c>
      <c r="G11" s="3" t="s">
        <v>68</v>
      </c>
      <c r="H11" s="3" t="s">
        <v>73</v>
      </c>
      <c r="I11" s="3">
        <v>400</v>
      </c>
      <c r="J11" s="3">
        <f t="shared" si="1"/>
        <v>2124</v>
      </c>
      <c r="K11" s="9"/>
      <c r="Q11">
        <v>25</v>
      </c>
      <c r="U11">
        <v>50</v>
      </c>
      <c r="AA11">
        <f t="shared" si="0"/>
        <v>75</v>
      </c>
    </row>
    <row r="12" spans="1:29" ht="30" x14ac:dyDescent="0.25">
      <c r="A12">
        <v>10</v>
      </c>
      <c r="B12" s="15" t="s">
        <v>74</v>
      </c>
      <c r="C12" s="75" t="s">
        <v>75</v>
      </c>
      <c r="D12" s="76"/>
      <c r="E12" s="76"/>
      <c r="F12" s="76"/>
      <c r="G12" s="77"/>
      <c r="H12" s="1"/>
      <c r="I12" s="1"/>
      <c r="J12" s="1"/>
      <c r="K12" s="1"/>
      <c r="AA12">
        <f t="shared" si="0"/>
        <v>0</v>
      </c>
    </row>
    <row r="13" spans="1:29" ht="45" x14ac:dyDescent="0.25">
      <c r="A13">
        <v>11</v>
      </c>
      <c r="B13" s="20" t="s">
        <v>76</v>
      </c>
      <c r="C13" s="5" t="s">
        <v>77</v>
      </c>
      <c r="D13" s="3" t="s">
        <v>78</v>
      </c>
      <c r="E13" s="25">
        <v>9932260028</v>
      </c>
      <c r="F13" s="3" t="s">
        <v>79</v>
      </c>
      <c r="G13" s="3" t="s">
        <v>80</v>
      </c>
      <c r="H13" s="3" t="s">
        <v>81</v>
      </c>
      <c r="I13" s="9"/>
      <c r="J13" s="9"/>
      <c r="K13" s="9"/>
      <c r="Q13">
        <v>25</v>
      </c>
      <c r="AA13">
        <f t="shared" si="0"/>
        <v>25</v>
      </c>
    </row>
    <row r="14" spans="1:29" ht="30" x14ac:dyDescent="0.25">
      <c r="A14">
        <v>12</v>
      </c>
      <c r="B14" s="20" t="s">
        <v>82</v>
      </c>
      <c r="C14" s="5" t="s">
        <v>83</v>
      </c>
      <c r="D14" s="3" t="s">
        <v>84</v>
      </c>
      <c r="E14" s="25">
        <v>9330546452</v>
      </c>
      <c r="F14" s="4" t="s">
        <v>85</v>
      </c>
      <c r="G14" s="3" t="s">
        <v>86</v>
      </c>
      <c r="H14" s="3" t="s">
        <v>87</v>
      </c>
      <c r="I14" s="9"/>
      <c r="J14" s="9"/>
      <c r="K14" s="9"/>
      <c r="P14">
        <v>13</v>
      </c>
      <c r="U14">
        <v>15</v>
      </c>
      <c r="AA14">
        <f t="shared" si="0"/>
        <v>28</v>
      </c>
      <c r="AC14" t="s">
        <v>88</v>
      </c>
    </row>
    <row r="15" spans="1:29" ht="60" x14ac:dyDescent="0.25">
      <c r="A15">
        <v>13</v>
      </c>
      <c r="B15" s="20" t="s">
        <v>89</v>
      </c>
      <c r="C15" s="3" t="s">
        <v>90</v>
      </c>
      <c r="D15" s="3" t="s">
        <v>91</v>
      </c>
      <c r="E15" s="25" t="s">
        <v>92</v>
      </c>
      <c r="F15" s="3" t="s">
        <v>93</v>
      </c>
      <c r="G15" s="3" t="s">
        <v>94</v>
      </c>
      <c r="H15" s="3" t="s">
        <v>95</v>
      </c>
      <c r="I15" s="9"/>
      <c r="J15" s="9"/>
      <c r="K15" s="9"/>
      <c r="O15">
        <v>22</v>
      </c>
      <c r="Q15">
        <v>22</v>
      </c>
      <c r="R15">
        <v>12</v>
      </c>
      <c r="T15">
        <v>22</v>
      </c>
      <c r="AA15">
        <f t="shared" si="0"/>
        <v>78</v>
      </c>
    </row>
    <row r="16" spans="1:29" ht="60" x14ac:dyDescent="0.25">
      <c r="A16">
        <v>14</v>
      </c>
      <c r="B16" s="20" t="s">
        <v>96</v>
      </c>
      <c r="C16" s="5" t="s">
        <v>97</v>
      </c>
      <c r="D16" s="3" t="s">
        <v>98</v>
      </c>
      <c r="E16" s="25">
        <v>8334892807</v>
      </c>
      <c r="F16" s="4" t="s">
        <v>99</v>
      </c>
      <c r="G16" s="3" t="s">
        <v>100</v>
      </c>
      <c r="H16" s="3" t="s">
        <v>101</v>
      </c>
      <c r="I16" s="3">
        <v>350</v>
      </c>
      <c r="J16" s="3">
        <v>2000</v>
      </c>
      <c r="K16" s="9"/>
      <c r="O16">
        <v>20</v>
      </c>
      <c r="Q16">
        <v>20</v>
      </c>
      <c r="T16">
        <v>20</v>
      </c>
      <c r="U16">
        <v>40</v>
      </c>
      <c r="AA16">
        <f t="shared" si="0"/>
        <v>100</v>
      </c>
    </row>
    <row r="17" spans="1:27" ht="34.9" customHeight="1" x14ac:dyDescent="0.25">
      <c r="A17">
        <v>15</v>
      </c>
      <c r="B17" s="20" t="s">
        <v>102</v>
      </c>
      <c r="C17" s="3" t="s">
        <v>103</v>
      </c>
      <c r="D17" s="3" t="s">
        <v>104</v>
      </c>
      <c r="E17" s="25">
        <v>8910509564</v>
      </c>
      <c r="F17" s="3" t="s">
        <v>105</v>
      </c>
      <c r="G17" s="3" t="s">
        <v>106</v>
      </c>
      <c r="H17" s="3" t="s">
        <v>107</v>
      </c>
      <c r="I17" s="9"/>
      <c r="J17" s="9"/>
      <c r="K17" s="9"/>
      <c r="R17">
        <v>30</v>
      </c>
      <c r="U17">
        <v>30</v>
      </c>
      <c r="AA17">
        <f t="shared" si="0"/>
        <v>60</v>
      </c>
    </row>
    <row r="18" spans="1:27" ht="49.15" customHeight="1" x14ac:dyDescent="0.25">
      <c r="A18">
        <v>16</v>
      </c>
      <c r="B18" s="20" t="s">
        <v>108</v>
      </c>
      <c r="C18" s="3" t="s">
        <v>109</v>
      </c>
      <c r="D18" s="3" t="s">
        <v>110</v>
      </c>
      <c r="E18" s="25">
        <v>9804465900</v>
      </c>
      <c r="F18" s="3" t="s">
        <v>111</v>
      </c>
      <c r="G18" s="3" t="s">
        <v>112</v>
      </c>
      <c r="H18" s="3" t="s">
        <v>113</v>
      </c>
      <c r="I18" s="3">
        <v>800</v>
      </c>
      <c r="J18" s="3">
        <v>1200</v>
      </c>
      <c r="K18" s="9"/>
      <c r="Q18">
        <v>35</v>
      </c>
      <c r="T18">
        <v>35</v>
      </c>
      <c r="AA18">
        <f t="shared" si="0"/>
        <v>70</v>
      </c>
    </row>
    <row r="19" spans="1:27" ht="30" x14ac:dyDescent="0.25">
      <c r="A19">
        <v>17</v>
      </c>
      <c r="B19" s="15" t="s">
        <v>114</v>
      </c>
      <c r="C19" s="78" t="s">
        <v>75</v>
      </c>
      <c r="D19" s="79"/>
      <c r="E19" s="79"/>
      <c r="F19" s="79"/>
      <c r="G19" s="80"/>
      <c r="H19" s="11"/>
      <c r="I19" s="10"/>
      <c r="J19" s="10"/>
      <c r="K19" s="10"/>
      <c r="AA19">
        <f t="shared" si="0"/>
        <v>0</v>
      </c>
    </row>
    <row r="20" spans="1:27" ht="45" x14ac:dyDescent="0.25">
      <c r="A20">
        <v>18</v>
      </c>
      <c r="B20" s="20" t="s">
        <v>115</v>
      </c>
      <c r="C20" s="3" t="s">
        <v>116</v>
      </c>
      <c r="D20" s="3" t="s">
        <v>117</v>
      </c>
      <c r="E20" s="25">
        <v>7595924428</v>
      </c>
      <c r="F20" s="3" t="s">
        <v>118</v>
      </c>
      <c r="G20" s="3" t="s">
        <v>119</v>
      </c>
      <c r="H20" s="3" t="s">
        <v>120</v>
      </c>
      <c r="I20" s="3">
        <v>250</v>
      </c>
      <c r="J20" s="3">
        <v>2500</v>
      </c>
      <c r="K20" s="9"/>
      <c r="Q20">
        <v>19</v>
      </c>
      <c r="U20">
        <v>17</v>
      </c>
      <c r="V20">
        <v>10</v>
      </c>
      <c r="W20">
        <v>17</v>
      </c>
      <c r="AA20">
        <f t="shared" si="0"/>
        <v>63</v>
      </c>
    </row>
    <row r="21" spans="1:27" ht="79.150000000000006" customHeight="1" x14ac:dyDescent="0.25">
      <c r="A21">
        <v>19</v>
      </c>
      <c r="B21" s="19" t="s">
        <v>121</v>
      </c>
      <c r="C21" s="3" t="s">
        <v>122</v>
      </c>
      <c r="D21" s="3" t="s">
        <v>123</v>
      </c>
      <c r="E21" s="25" t="s">
        <v>124</v>
      </c>
      <c r="F21" s="3" t="s">
        <v>40</v>
      </c>
      <c r="G21" s="3" t="s">
        <v>41</v>
      </c>
      <c r="H21" s="3" t="s">
        <v>125</v>
      </c>
      <c r="I21" s="3" t="s">
        <v>126</v>
      </c>
      <c r="J21" s="9"/>
      <c r="K21" s="9"/>
      <c r="S21">
        <v>20</v>
      </c>
      <c r="AA21">
        <f t="shared" si="0"/>
        <v>20</v>
      </c>
    </row>
    <row r="22" spans="1:27" s="16" customFormat="1" ht="145.15" customHeight="1" x14ac:dyDescent="0.25">
      <c r="A22" s="16">
        <v>20</v>
      </c>
      <c r="B22" s="21" t="s">
        <v>127</v>
      </c>
      <c r="C22" s="16" t="s">
        <v>128</v>
      </c>
      <c r="D22" s="17" t="s">
        <v>129</v>
      </c>
      <c r="E22" s="26">
        <v>7302355597</v>
      </c>
      <c r="F22" s="18" t="s">
        <v>130</v>
      </c>
      <c r="G22" s="16" t="s">
        <v>131</v>
      </c>
      <c r="I22" s="16">
        <v>342</v>
      </c>
      <c r="O22" s="16">
        <v>17</v>
      </c>
      <c r="P22" s="16">
        <v>0</v>
      </c>
      <c r="Q22" s="16">
        <v>20</v>
      </c>
      <c r="S22" s="16">
        <v>8</v>
      </c>
      <c r="T22" s="16">
        <v>15</v>
      </c>
      <c r="V22" s="16">
        <v>8</v>
      </c>
      <c r="X22" s="16">
        <v>15</v>
      </c>
      <c r="Y22" s="16">
        <v>15</v>
      </c>
      <c r="Z22" s="16">
        <v>8</v>
      </c>
    </row>
    <row r="23" spans="1:27" x14ac:dyDescent="0.25">
      <c r="B23" s="81" t="s">
        <v>132</v>
      </c>
      <c r="C23" s="81"/>
      <c r="D23" s="81"/>
      <c r="E23" s="81"/>
      <c r="F23" s="81"/>
    </row>
    <row r="25" spans="1:27" x14ac:dyDescent="0.25">
      <c r="G25" s="27"/>
    </row>
    <row r="26" spans="1:27" x14ac:dyDescent="0.25">
      <c r="A26">
        <v>21</v>
      </c>
      <c r="B26" s="22" t="s">
        <v>1</v>
      </c>
      <c r="C26" s="22" t="s">
        <v>133</v>
      </c>
      <c r="D26" s="22" t="s">
        <v>2</v>
      </c>
      <c r="E26" s="22" t="s">
        <v>134</v>
      </c>
      <c r="F26" s="22" t="s">
        <v>18</v>
      </c>
      <c r="G26" s="22" t="s">
        <v>135</v>
      </c>
      <c r="H26" s="22" t="s">
        <v>136</v>
      </c>
      <c r="O26" s="14">
        <f t="shared" ref="O26:W26" si="2">SUM(O3:O21)</f>
        <v>209</v>
      </c>
      <c r="P26" s="14">
        <f t="shared" si="2"/>
        <v>153</v>
      </c>
      <c r="Q26" s="14">
        <f t="shared" si="2"/>
        <v>388</v>
      </c>
      <c r="R26" s="14">
        <f t="shared" si="2"/>
        <v>234</v>
      </c>
      <c r="S26" s="14">
        <f t="shared" si="2"/>
        <v>40</v>
      </c>
      <c r="T26" s="14">
        <f t="shared" si="2"/>
        <v>104</v>
      </c>
      <c r="U26" s="14">
        <f t="shared" si="2"/>
        <v>404</v>
      </c>
      <c r="V26" s="14">
        <f t="shared" si="2"/>
        <v>10</v>
      </c>
      <c r="W26" s="14">
        <f t="shared" si="2"/>
        <v>17</v>
      </c>
      <c r="X26" s="14"/>
      <c r="Y26" s="14"/>
      <c r="Z26" s="14"/>
    </row>
    <row r="27" spans="1:27" x14ac:dyDescent="0.25">
      <c r="B27" s="28">
        <v>1</v>
      </c>
      <c r="C27" s="29" t="s">
        <v>137</v>
      </c>
      <c r="D27" s="36" t="s">
        <v>138</v>
      </c>
      <c r="E27" s="28">
        <v>27</v>
      </c>
      <c r="F27" s="28">
        <v>0</v>
      </c>
      <c r="G27" s="28" t="s">
        <v>139</v>
      </c>
      <c r="H27" s="30" t="s">
        <v>140</v>
      </c>
    </row>
    <row r="28" spans="1:27" x14ac:dyDescent="0.25">
      <c r="B28" s="28">
        <v>2</v>
      </c>
      <c r="C28" s="29" t="s">
        <v>141</v>
      </c>
      <c r="D28" s="36" t="s">
        <v>142</v>
      </c>
      <c r="E28" s="28">
        <v>35</v>
      </c>
      <c r="F28" s="28">
        <v>0</v>
      </c>
      <c r="G28" s="28" t="s">
        <v>143</v>
      </c>
      <c r="H28" s="30" t="s">
        <v>140</v>
      </c>
    </row>
    <row r="29" spans="1:27" x14ac:dyDescent="0.25">
      <c r="B29" s="28">
        <v>3</v>
      </c>
      <c r="C29" s="31" t="s">
        <v>144</v>
      </c>
      <c r="D29" s="36" t="s">
        <v>145</v>
      </c>
      <c r="E29" s="32">
        <v>15</v>
      </c>
      <c r="F29" s="28">
        <v>0</v>
      </c>
      <c r="G29" s="28" t="s">
        <v>146</v>
      </c>
      <c r="H29" s="30" t="s">
        <v>147</v>
      </c>
    </row>
    <row r="30" spans="1:27" x14ac:dyDescent="0.25">
      <c r="B30" s="28">
        <v>4</v>
      </c>
      <c r="C30" s="29" t="s">
        <v>148</v>
      </c>
      <c r="D30" s="36" t="s">
        <v>145</v>
      </c>
      <c r="E30" s="32">
        <v>15</v>
      </c>
      <c r="F30" s="28">
        <v>0</v>
      </c>
      <c r="G30" s="28" t="s">
        <v>149</v>
      </c>
      <c r="H30" s="30" t="s">
        <v>147</v>
      </c>
    </row>
    <row r="31" spans="1:27" x14ac:dyDescent="0.25">
      <c r="B31" s="28">
        <v>5</v>
      </c>
      <c r="C31" s="29" t="s">
        <v>150</v>
      </c>
      <c r="D31" s="36" t="s">
        <v>145</v>
      </c>
      <c r="E31" s="32">
        <v>15</v>
      </c>
      <c r="F31" s="28">
        <v>0</v>
      </c>
      <c r="G31" s="28" t="s">
        <v>151</v>
      </c>
      <c r="H31" s="30" t="s">
        <v>147</v>
      </c>
    </row>
    <row r="32" spans="1:27" x14ac:dyDescent="0.25">
      <c r="B32" s="28">
        <v>6</v>
      </c>
      <c r="C32" s="33" t="s">
        <v>152</v>
      </c>
      <c r="D32" s="36" t="s">
        <v>145</v>
      </c>
      <c r="E32" s="32">
        <v>15</v>
      </c>
      <c r="F32" s="28">
        <v>0</v>
      </c>
      <c r="G32" s="28" t="s">
        <v>153</v>
      </c>
      <c r="H32" s="30" t="s">
        <v>147</v>
      </c>
    </row>
    <row r="33" spans="2:8" x14ac:dyDescent="0.25">
      <c r="B33" s="28">
        <v>7</v>
      </c>
      <c r="C33" s="29" t="s">
        <v>154</v>
      </c>
      <c r="D33" s="36" t="s">
        <v>155</v>
      </c>
      <c r="E33" s="28">
        <v>27</v>
      </c>
      <c r="F33" s="28">
        <v>54</v>
      </c>
      <c r="G33" s="28" t="s">
        <v>156</v>
      </c>
      <c r="H33" s="30" t="s">
        <v>140</v>
      </c>
    </row>
    <row r="34" spans="2:8" ht="16.149999999999999" customHeight="1" x14ac:dyDescent="0.25">
      <c r="B34" s="28">
        <v>8</v>
      </c>
      <c r="C34" s="29" t="s">
        <v>154</v>
      </c>
      <c r="D34" s="36" t="s">
        <v>157</v>
      </c>
      <c r="E34" s="28">
        <v>12</v>
      </c>
      <c r="F34" s="28">
        <v>12</v>
      </c>
      <c r="G34" s="28" t="s">
        <v>158</v>
      </c>
      <c r="H34" s="30" t="s">
        <v>140</v>
      </c>
    </row>
    <row r="35" spans="2:8" x14ac:dyDescent="0.25">
      <c r="B35" s="28">
        <v>9</v>
      </c>
      <c r="C35" s="29" t="s">
        <v>154</v>
      </c>
      <c r="D35" s="36" t="s">
        <v>159</v>
      </c>
      <c r="E35" s="28">
        <v>30</v>
      </c>
      <c r="F35" s="28">
        <v>0</v>
      </c>
      <c r="G35" s="28" t="s">
        <v>160</v>
      </c>
      <c r="H35" s="30" t="s">
        <v>140</v>
      </c>
    </row>
    <row r="36" spans="2:8" x14ac:dyDescent="0.25">
      <c r="B36" s="28">
        <v>10</v>
      </c>
      <c r="C36" s="29" t="s">
        <v>154</v>
      </c>
      <c r="D36" s="36" t="s">
        <v>161</v>
      </c>
      <c r="E36" s="34">
        <v>20</v>
      </c>
      <c r="F36" s="28">
        <v>40</v>
      </c>
      <c r="G36" s="28" t="s">
        <v>162</v>
      </c>
      <c r="H36" s="30" t="s">
        <v>140</v>
      </c>
    </row>
    <row r="37" spans="2:8" x14ac:dyDescent="0.25">
      <c r="B37" s="28">
        <v>11</v>
      </c>
      <c r="C37" s="29" t="s">
        <v>163</v>
      </c>
      <c r="D37" s="36" t="s">
        <v>164</v>
      </c>
      <c r="E37" s="34">
        <v>45</v>
      </c>
      <c r="F37" s="28">
        <v>45</v>
      </c>
      <c r="G37" s="28" t="s">
        <v>165</v>
      </c>
      <c r="H37" s="30" t="s">
        <v>140</v>
      </c>
    </row>
    <row r="38" spans="2:8" x14ac:dyDescent="0.25">
      <c r="B38" s="28">
        <v>12</v>
      </c>
      <c r="C38" s="29" t="s">
        <v>154</v>
      </c>
      <c r="D38" s="36" t="s">
        <v>166</v>
      </c>
      <c r="E38" s="34">
        <v>22</v>
      </c>
      <c r="F38" s="28">
        <v>0</v>
      </c>
      <c r="G38" s="28" t="s">
        <v>167</v>
      </c>
      <c r="H38" s="30" t="s">
        <v>140</v>
      </c>
    </row>
    <row r="39" spans="2:8" x14ac:dyDescent="0.25">
      <c r="B39" s="28">
        <v>13</v>
      </c>
      <c r="C39" s="29" t="s">
        <v>154</v>
      </c>
      <c r="D39" s="36" t="s">
        <v>168</v>
      </c>
      <c r="E39" s="35">
        <v>11</v>
      </c>
      <c r="F39" s="28">
        <v>0</v>
      </c>
      <c r="G39" s="28" t="s">
        <v>169</v>
      </c>
      <c r="H39" s="30" t="s">
        <v>147</v>
      </c>
    </row>
    <row r="40" spans="2:8" x14ac:dyDescent="0.25">
      <c r="B40" s="28">
        <v>14</v>
      </c>
      <c r="C40" s="29" t="s">
        <v>154</v>
      </c>
      <c r="D40" s="36" t="s">
        <v>170</v>
      </c>
      <c r="E40" s="35">
        <v>0</v>
      </c>
      <c r="F40" s="28">
        <v>35</v>
      </c>
      <c r="G40" s="28" t="s">
        <v>171</v>
      </c>
      <c r="H40" s="30" t="s">
        <v>140</v>
      </c>
    </row>
  </sheetData>
  <mergeCells count="3">
    <mergeCell ref="C12:G12"/>
    <mergeCell ref="C19:G19"/>
    <mergeCell ref="B23:F23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019F-1878-4A0A-B050-CA82A800ADFD}">
  <dimension ref="A1:AT115"/>
  <sheetViews>
    <sheetView zoomScale="95" zoomScaleNormal="95" workbookViewId="0">
      <pane xSplit="3" ySplit="2" topLeftCell="D10" activePane="bottomRight" state="frozen"/>
      <selection pane="topRight" activeCell="D1" sqref="D1"/>
      <selection pane="bottomLeft" activeCell="A3" sqref="A3"/>
      <selection pane="bottomRight" activeCell="B27" sqref="B27"/>
    </sheetView>
  </sheetViews>
  <sheetFormatPr defaultRowHeight="15" x14ac:dyDescent="0.25"/>
  <cols>
    <col min="1" max="1" width="15.28515625" customWidth="1"/>
    <col min="2" max="2" width="50.5703125" customWidth="1"/>
    <col min="3" max="3" width="19.5703125" bestFit="1" customWidth="1"/>
    <col min="4" max="4" width="19.5703125" customWidth="1"/>
    <col min="5" max="5" width="17" customWidth="1"/>
    <col min="6" max="7" width="14.7109375" customWidth="1"/>
    <col min="8" max="8" width="15.7109375" customWidth="1"/>
    <col min="9" max="9" width="13.7109375" customWidth="1"/>
    <col min="10" max="10" width="11.85546875" customWidth="1"/>
    <col min="11" max="11" width="10.85546875" customWidth="1"/>
    <col min="12" max="12" width="13.5703125" customWidth="1"/>
    <col min="13" max="15" width="13.7109375" customWidth="1"/>
    <col min="16" max="16" width="13.140625" customWidth="1"/>
    <col min="17" max="17" width="13.7109375" customWidth="1"/>
    <col min="18" max="18" width="12.28515625" customWidth="1"/>
    <col min="19" max="19" width="10.7109375" style="23" bestFit="1" customWidth="1"/>
    <col min="20" max="22" width="10.7109375" style="23" customWidth="1"/>
    <col min="23" max="24" width="16.7109375" customWidth="1"/>
    <col min="25" max="26" width="26.7109375" customWidth="1"/>
    <col min="27" max="27" width="22.28515625" customWidth="1"/>
    <col min="28" max="28" width="26.85546875" bestFit="1" customWidth="1"/>
    <col min="29" max="29" width="20" bestFit="1" customWidth="1"/>
    <col min="30" max="30" width="18.5703125" bestFit="1" customWidth="1"/>
    <col min="32" max="32" width="7.7109375" bestFit="1" customWidth="1"/>
    <col min="33" max="33" width="14" bestFit="1" customWidth="1"/>
    <col min="34" max="34" width="12.85546875" customWidth="1"/>
    <col min="35" max="35" width="7.7109375" bestFit="1" customWidth="1"/>
    <col min="36" max="40" width="3.7109375" bestFit="1" customWidth="1"/>
    <col min="41" max="41" width="5" bestFit="1" customWidth="1"/>
    <col min="42" max="42" width="20.7109375" bestFit="1" customWidth="1"/>
    <col min="43" max="45" width="20.7109375" customWidth="1"/>
    <col min="46" max="46" width="8.5703125" customWidth="1"/>
  </cols>
  <sheetData>
    <row r="1" spans="1:46" x14ac:dyDescent="0.25">
      <c r="E1" s="55">
        <v>5714</v>
      </c>
      <c r="F1" s="55">
        <v>4032</v>
      </c>
      <c r="G1" s="55">
        <v>6721</v>
      </c>
      <c r="H1" s="55">
        <v>4370</v>
      </c>
      <c r="I1" s="55">
        <v>4032</v>
      </c>
      <c r="J1" s="55">
        <v>5514</v>
      </c>
      <c r="K1" s="55">
        <v>4370</v>
      </c>
      <c r="L1" s="55">
        <v>6434</v>
      </c>
      <c r="M1" s="55">
        <v>2354</v>
      </c>
      <c r="N1" s="55">
        <v>4370</v>
      </c>
      <c r="O1" s="55">
        <v>4370</v>
      </c>
      <c r="P1" s="55">
        <v>5377</v>
      </c>
      <c r="Q1" s="55">
        <v>7059</v>
      </c>
      <c r="R1" s="55">
        <v>7059</v>
      </c>
      <c r="S1" s="55">
        <v>7059</v>
      </c>
      <c r="T1" s="60"/>
      <c r="U1" s="60"/>
      <c r="V1" s="60"/>
    </row>
    <row r="2" spans="1:46" x14ac:dyDescent="0.25">
      <c r="A2" s="22" t="s">
        <v>1</v>
      </c>
      <c r="B2" s="22" t="s">
        <v>2</v>
      </c>
      <c r="C2" s="22" t="s">
        <v>172</v>
      </c>
      <c r="D2" s="22" t="s">
        <v>197</v>
      </c>
      <c r="E2" s="22" t="s">
        <v>173</v>
      </c>
      <c r="F2" s="22" t="s">
        <v>174</v>
      </c>
      <c r="G2" s="22" t="s">
        <v>175</v>
      </c>
      <c r="H2" s="22" t="s">
        <v>176</v>
      </c>
      <c r="I2" s="22" t="s">
        <v>177</v>
      </c>
      <c r="J2" s="22" t="s">
        <v>22</v>
      </c>
      <c r="K2" s="22" t="s">
        <v>19</v>
      </c>
      <c r="L2" s="22" t="s">
        <v>17</v>
      </c>
      <c r="M2" s="22" t="s">
        <v>16</v>
      </c>
      <c r="N2" s="22" t="s">
        <v>178</v>
      </c>
      <c r="O2" s="22" t="s">
        <v>179</v>
      </c>
      <c r="P2" s="22" t="s">
        <v>180</v>
      </c>
      <c r="Q2" s="22" t="s">
        <v>134</v>
      </c>
      <c r="R2" s="22" t="s">
        <v>181</v>
      </c>
      <c r="S2" s="22" t="s">
        <v>18</v>
      </c>
      <c r="T2" s="22" t="s">
        <v>223</v>
      </c>
      <c r="U2" s="22" t="s">
        <v>249</v>
      </c>
      <c r="V2" s="22" t="s">
        <v>250</v>
      </c>
      <c r="W2" s="46" t="s">
        <v>182</v>
      </c>
      <c r="X2" s="22" t="s">
        <v>195</v>
      </c>
      <c r="Y2" s="22" t="s">
        <v>136</v>
      </c>
      <c r="Z2" s="39" t="s">
        <v>183</v>
      </c>
      <c r="AA2" s="51" t="s">
        <v>184</v>
      </c>
      <c r="AB2" s="54" t="s">
        <v>185</v>
      </c>
      <c r="AD2" s="54" t="s">
        <v>186</v>
      </c>
      <c r="AG2" s="14" t="e">
        <f>SUM(#REF!)</f>
        <v>#REF!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6" x14ac:dyDescent="0.25">
      <c r="A3" s="28">
        <v>1</v>
      </c>
      <c r="B3" s="36" t="s">
        <v>198</v>
      </c>
      <c r="C3" s="36" t="s">
        <v>187</v>
      </c>
      <c r="D3" s="36" t="s">
        <v>200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0">
        <v>12</v>
      </c>
      <c r="R3" s="30"/>
      <c r="S3" s="28">
        <v>12</v>
      </c>
      <c r="T3" s="28"/>
      <c r="U3" s="28"/>
      <c r="V3" s="28"/>
      <c r="W3" s="47">
        <v>46073</v>
      </c>
      <c r="X3" s="47" t="s">
        <v>201</v>
      </c>
      <c r="Y3" s="28" t="s">
        <v>202</v>
      </c>
      <c r="Z3" s="45"/>
      <c r="AA3" s="52">
        <v>125</v>
      </c>
      <c r="AB3" s="30"/>
    </row>
    <row r="4" spans="1:46" x14ac:dyDescent="0.25">
      <c r="A4" s="28">
        <v>2</v>
      </c>
      <c r="B4" s="36" t="s">
        <v>199</v>
      </c>
      <c r="C4" s="36" t="s">
        <v>187</v>
      </c>
      <c r="D4" s="36" t="s">
        <v>200</v>
      </c>
      <c r="E4" s="36"/>
      <c r="F4" s="36"/>
      <c r="G4" s="36"/>
      <c r="H4" s="36"/>
      <c r="I4" s="36"/>
      <c r="J4" s="36"/>
      <c r="K4" s="36"/>
      <c r="L4" s="36"/>
      <c r="M4" s="36">
        <v>12</v>
      </c>
      <c r="N4" s="36"/>
      <c r="O4" s="36"/>
      <c r="P4" s="36"/>
      <c r="Q4" s="30">
        <v>12</v>
      </c>
      <c r="R4" s="30"/>
      <c r="S4" s="28">
        <v>12</v>
      </c>
      <c r="T4" s="28"/>
      <c r="U4" s="28"/>
      <c r="V4" s="28"/>
      <c r="W4" s="47">
        <v>46073</v>
      </c>
      <c r="X4" s="47" t="s">
        <v>203</v>
      </c>
      <c r="Y4" s="28" t="s">
        <v>202</v>
      </c>
      <c r="Z4" s="45"/>
      <c r="AA4" s="52">
        <v>170</v>
      </c>
      <c r="AB4" s="30"/>
    </row>
    <row r="5" spans="1:46" ht="15.75" x14ac:dyDescent="0.25">
      <c r="A5" s="28">
        <v>3</v>
      </c>
      <c r="B5" s="36" t="s">
        <v>204</v>
      </c>
      <c r="C5" s="36" t="s">
        <v>205</v>
      </c>
      <c r="D5" s="36"/>
      <c r="E5" s="36">
        <v>1</v>
      </c>
      <c r="F5" s="36"/>
      <c r="G5" s="36"/>
      <c r="H5" s="36"/>
      <c r="I5" s="36">
        <v>1</v>
      </c>
      <c r="J5" s="36"/>
      <c r="K5" s="36">
        <v>1</v>
      </c>
      <c r="L5" s="36"/>
      <c r="M5" s="36">
        <v>1</v>
      </c>
      <c r="N5" s="36"/>
      <c r="O5" s="36"/>
      <c r="P5" s="36"/>
      <c r="Q5" s="30">
        <v>1</v>
      </c>
      <c r="R5" s="30"/>
      <c r="S5" s="28">
        <v>1</v>
      </c>
      <c r="T5" s="28"/>
      <c r="U5" s="28"/>
      <c r="V5" s="28"/>
      <c r="W5" s="47">
        <v>46073</v>
      </c>
      <c r="X5" s="47" t="s">
        <v>208</v>
      </c>
      <c r="Y5" s="28"/>
      <c r="Z5" s="45"/>
      <c r="AA5" s="52"/>
      <c r="AB5" s="30"/>
    </row>
    <row r="6" spans="1:46" x14ac:dyDescent="0.25">
      <c r="A6" s="28">
        <v>4</v>
      </c>
      <c r="B6" s="58" t="s">
        <v>209</v>
      </c>
      <c r="C6" s="36" t="s">
        <v>187</v>
      </c>
      <c r="D6" s="36" t="s">
        <v>222</v>
      </c>
      <c r="E6" s="36"/>
      <c r="F6" s="36"/>
      <c r="G6" s="36"/>
      <c r="H6" s="36"/>
      <c r="I6" s="36"/>
      <c r="J6" s="36"/>
      <c r="K6" s="36">
        <v>5</v>
      </c>
      <c r="L6" s="36"/>
      <c r="M6" s="36">
        <v>7</v>
      </c>
      <c r="N6" s="36"/>
      <c r="O6" s="36"/>
      <c r="P6" s="36">
        <v>5</v>
      </c>
      <c r="Q6" s="30">
        <v>5</v>
      </c>
      <c r="R6" s="30"/>
      <c r="S6" s="28">
        <v>27</v>
      </c>
      <c r="T6" s="28">
        <v>27</v>
      </c>
      <c r="U6" s="28"/>
      <c r="V6" s="28"/>
      <c r="W6" s="47">
        <v>46104</v>
      </c>
      <c r="X6" s="47" t="s">
        <v>224</v>
      </c>
      <c r="Y6" s="28" t="s">
        <v>202</v>
      </c>
      <c r="Z6" s="45"/>
      <c r="AA6" s="52">
        <v>559</v>
      </c>
      <c r="AB6" s="30"/>
    </row>
    <row r="7" spans="1:46" x14ac:dyDescent="0.25">
      <c r="A7" s="28">
        <v>5</v>
      </c>
      <c r="B7" s="58" t="s">
        <v>210</v>
      </c>
      <c r="C7" s="36" t="s">
        <v>187</v>
      </c>
      <c r="D7" s="36" t="s">
        <v>222</v>
      </c>
      <c r="E7" s="36"/>
      <c r="F7" s="36">
        <v>5</v>
      </c>
      <c r="G7" s="36"/>
      <c r="H7" s="36"/>
      <c r="I7" s="36"/>
      <c r="J7" s="36"/>
      <c r="K7" s="36">
        <v>5</v>
      </c>
      <c r="L7" s="36"/>
      <c r="M7" s="36">
        <v>7</v>
      </c>
      <c r="N7" s="36"/>
      <c r="O7" s="36"/>
      <c r="P7" s="36">
        <v>5</v>
      </c>
      <c r="Q7" s="30">
        <v>5</v>
      </c>
      <c r="R7" s="30"/>
      <c r="S7" s="28">
        <v>27</v>
      </c>
      <c r="T7" s="28">
        <v>27</v>
      </c>
      <c r="U7" s="28"/>
      <c r="V7" s="28"/>
      <c r="W7" s="47">
        <v>46104</v>
      </c>
      <c r="X7" s="47" t="s">
        <v>225</v>
      </c>
      <c r="Y7" s="28" t="s">
        <v>202</v>
      </c>
      <c r="Z7" s="45"/>
      <c r="AA7" s="61">
        <v>608</v>
      </c>
      <c r="AB7" s="30"/>
    </row>
    <row r="8" spans="1:46" x14ac:dyDescent="0.25">
      <c r="A8" s="28">
        <v>6</v>
      </c>
      <c r="B8" s="58" t="s">
        <v>211</v>
      </c>
      <c r="C8" s="36" t="s">
        <v>187</v>
      </c>
      <c r="D8" s="36" t="s">
        <v>222</v>
      </c>
      <c r="E8" s="36"/>
      <c r="F8" s="36"/>
      <c r="G8" s="36"/>
      <c r="H8" s="36"/>
      <c r="I8" s="36"/>
      <c r="J8" s="36"/>
      <c r="K8" s="36"/>
      <c r="L8" s="36"/>
      <c r="M8" s="36">
        <v>7</v>
      </c>
      <c r="N8" s="36"/>
      <c r="O8" s="36"/>
      <c r="P8" s="36"/>
      <c r="Q8" s="30">
        <v>5</v>
      </c>
      <c r="R8" s="30"/>
      <c r="S8" s="28">
        <v>5</v>
      </c>
      <c r="T8" s="28">
        <v>30</v>
      </c>
      <c r="U8" s="28"/>
      <c r="V8" s="28"/>
      <c r="W8" s="47">
        <v>46104</v>
      </c>
      <c r="X8" s="47" t="s">
        <v>226</v>
      </c>
      <c r="Y8" s="28" t="s">
        <v>202</v>
      </c>
      <c r="Z8" s="45"/>
      <c r="AA8" s="61">
        <v>270</v>
      </c>
      <c r="AB8" s="30"/>
    </row>
    <row r="9" spans="1:46" x14ac:dyDescent="0.25">
      <c r="A9" s="28">
        <v>7</v>
      </c>
      <c r="B9" s="58" t="s">
        <v>212</v>
      </c>
      <c r="C9" s="36" t="s">
        <v>187</v>
      </c>
      <c r="D9" s="36" t="s">
        <v>222</v>
      </c>
      <c r="E9" s="36"/>
      <c r="F9" s="36"/>
      <c r="G9" s="36"/>
      <c r="H9" s="36"/>
      <c r="I9" s="36"/>
      <c r="J9" s="36"/>
      <c r="K9" s="36"/>
      <c r="L9" s="36"/>
      <c r="M9" s="36">
        <v>7</v>
      </c>
      <c r="N9" s="36"/>
      <c r="O9" s="36"/>
      <c r="P9" s="36"/>
      <c r="Q9" s="30">
        <v>5</v>
      </c>
      <c r="R9" s="30"/>
      <c r="S9" s="32">
        <v>7</v>
      </c>
      <c r="T9" s="32">
        <v>25</v>
      </c>
      <c r="U9" s="32"/>
      <c r="V9" s="32"/>
      <c r="W9" s="47">
        <v>46105</v>
      </c>
      <c r="X9" s="47" t="s">
        <v>227</v>
      </c>
      <c r="Y9" s="28" t="s">
        <v>202</v>
      </c>
      <c r="Z9" s="45"/>
      <c r="AA9" s="62">
        <v>474</v>
      </c>
      <c r="AB9" s="30"/>
    </row>
    <row r="10" spans="1:46" x14ac:dyDescent="0.25">
      <c r="A10" s="28">
        <v>8</v>
      </c>
      <c r="B10" s="58" t="s">
        <v>213</v>
      </c>
      <c r="C10" s="36" t="s">
        <v>187</v>
      </c>
      <c r="D10" s="36" t="s">
        <v>222</v>
      </c>
      <c r="E10" s="36"/>
      <c r="F10" s="36"/>
      <c r="G10" s="36"/>
      <c r="H10" s="36"/>
      <c r="I10" s="36"/>
      <c r="J10" s="36"/>
      <c r="K10" s="36"/>
      <c r="L10" s="36"/>
      <c r="M10" s="36">
        <v>7</v>
      </c>
      <c r="N10" s="36"/>
      <c r="O10" s="36"/>
      <c r="P10" s="36"/>
      <c r="Q10" s="30">
        <v>5</v>
      </c>
      <c r="R10" s="30"/>
      <c r="S10" s="32">
        <v>10</v>
      </c>
      <c r="T10" s="32">
        <v>20</v>
      </c>
      <c r="U10" s="32"/>
      <c r="V10" s="32"/>
      <c r="W10" s="47">
        <v>46105</v>
      </c>
      <c r="X10" s="47" t="s">
        <v>228</v>
      </c>
      <c r="Y10" s="28" t="s">
        <v>202</v>
      </c>
      <c r="Z10" s="45"/>
      <c r="AA10" s="62">
        <v>589</v>
      </c>
      <c r="AB10" s="30"/>
    </row>
    <row r="11" spans="1:46" x14ac:dyDescent="0.25">
      <c r="A11" s="28">
        <v>9</v>
      </c>
      <c r="B11" s="58" t="s">
        <v>214</v>
      </c>
      <c r="C11" s="36" t="s">
        <v>187</v>
      </c>
      <c r="D11" s="36" t="s">
        <v>222</v>
      </c>
      <c r="E11" s="36"/>
      <c r="F11" s="36"/>
      <c r="G11" s="36"/>
      <c r="H11" s="36"/>
      <c r="I11" s="36"/>
      <c r="J11" s="36"/>
      <c r="K11" s="36"/>
      <c r="L11" s="36"/>
      <c r="M11" s="36">
        <v>7</v>
      </c>
      <c r="N11" s="36"/>
      <c r="O11" s="36"/>
      <c r="P11" s="36"/>
      <c r="Q11" s="30">
        <v>5</v>
      </c>
      <c r="R11" s="30"/>
      <c r="S11" s="32">
        <v>5</v>
      </c>
      <c r="T11" s="32">
        <v>20</v>
      </c>
      <c r="U11" s="32"/>
      <c r="V11" s="32"/>
      <c r="W11" s="47">
        <v>46105</v>
      </c>
      <c r="X11" s="47" t="s">
        <v>229</v>
      </c>
      <c r="Y11" s="28" t="s">
        <v>202</v>
      </c>
      <c r="Z11" s="45"/>
      <c r="AA11" s="62">
        <v>239</v>
      </c>
      <c r="AB11" s="30"/>
    </row>
    <row r="12" spans="1:46" x14ac:dyDescent="0.25">
      <c r="A12" s="28">
        <v>10</v>
      </c>
      <c r="B12" s="58" t="s">
        <v>157</v>
      </c>
      <c r="C12" s="36" t="s">
        <v>187</v>
      </c>
      <c r="D12" s="36" t="s">
        <v>222</v>
      </c>
      <c r="E12" s="36"/>
      <c r="F12" s="36"/>
      <c r="G12" s="36"/>
      <c r="H12" s="36"/>
      <c r="I12" s="36"/>
      <c r="J12" s="36"/>
      <c r="K12" s="36">
        <v>1</v>
      </c>
      <c r="L12" s="36"/>
      <c r="M12" s="36">
        <v>3</v>
      </c>
      <c r="N12" s="36"/>
      <c r="O12" s="36"/>
      <c r="P12" s="36">
        <v>6</v>
      </c>
      <c r="Q12" s="30"/>
      <c r="R12" s="30"/>
      <c r="S12" s="32">
        <v>5</v>
      </c>
      <c r="T12" s="32"/>
      <c r="U12" s="32"/>
      <c r="V12" s="32"/>
      <c r="W12" s="47">
        <v>46105</v>
      </c>
      <c r="X12" s="47" t="s">
        <v>230</v>
      </c>
      <c r="Y12" s="28"/>
      <c r="Z12" s="45"/>
      <c r="AA12" s="63">
        <v>250</v>
      </c>
      <c r="AB12" s="30"/>
    </row>
    <row r="13" spans="1:46" x14ac:dyDescent="0.25">
      <c r="A13" s="28">
        <v>11</v>
      </c>
      <c r="B13" s="58" t="s">
        <v>215</v>
      </c>
      <c r="C13" s="36" t="s">
        <v>187</v>
      </c>
      <c r="D13" s="36" t="s">
        <v>222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>
        <v>1</v>
      </c>
      <c r="Q13" s="30"/>
      <c r="R13" s="30"/>
      <c r="S13" s="32">
        <v>1</v>
      </c>
      <c r="T13" s="32">
        <v>17</v>
      </c>
      <c r="U13" s="32"/>
      <c r="V13" s="32"/>
      <c r="W13" s="47">
        <v>46105</v>
      </c>
      <c r="X13" s="47" t="s">
        <v>231</v>
      </c>
      <c r="Y13" s="28" t="s">
        <v>202</v>
      </c>
      <c r="Z13" s="45"/>
      <c r="AA13" s="63">
        <v>400</v>
      </c>
      <c r="AB13" s="30"/>
    </row>
    <row r="14" spans="1:46" x14ac:dyDescent="0.25">
      <c r="A14" s="28">
        <v>12</v>
      </c>
      <c r="B14" s="58" t="s">
        <v>216</v>
      </c>
      <c r="C14" s="36" t="s">
        <v>187</v>
      </c>
      <c r="D14" s="36" t="s">
        <v>222</v>
      </c>
      <c r="E14" s="36"/>
      <c r="F14" s="36"/>
      <c r="G14" s="36"/>
      <c r="H14" s="36">
        <v>15</v>
      </c>
      <c r="I14" s="36"/>
      <c r="J14" s="36"/>
      <c r="K14" s="36">
        <v>15</v>
      </c>
      <c r="L14" s="36"/>
      <c r="M14" s="36">
        <v>15</v>
      </c>
      <c r="N14" s="36"/>
      <c r="O14" s="36"/>
      <c r="P14" s="36">
        <v>15</v>
      </c>
      <c r="Q14" s="30"/>
      <c r="R14" s="30"/>
      <c r="S14" s="32"/>
      <c r="T14" s="32">
        <v>15</v>
      </c>
      <c r="U14" s="32"/>
      <c r="V14" s="32"/>
      <c r="W14" s="47">
        <v>46105</v>
      </c>
      <c r="X14" s="47" t="s">
        <v>232</v>
      </c>
      <c r="Y14" s="28" t="s">
        <v>202</v>
      </c>
      <c r="Z14" s="45"/>
      <c r="AA14" s="63">
        <v>860</v>
      </c>
      <c r="AB14" s="30"/>
    </row>
    <row r="15" spans="1:46" x14ac:dyDescent="0.25">
      <c r="A15" s="28"/>
      <c r="B15" s="58" t="s">
        <v>216</v>
      </c>
      <c r="C15" s="36" t="s">
        <v>251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0"/>
      <c r="R15" s="30"/>
      <c r="S15" s="32"/>
      <c r="T15" s="32"/>
      <c r="U15" s="32">
        <v>1</v>
      </c>
      <c r="V15" s="32">
        <v>1</v>
      </c>
      <c r="W15" s="47">
        <v>46118</v>
      </c>
      <c r="X15" s="47" t="s">
        <v>252</v>
      </c>
      <c r="Y15" s="28" t="s">
        <v>202</v>
      </c>
      <c r="Z15" s="45"/>
      <c r="AA15" s="64" t="s">
        <v>253</v>
      </c>
      <c r="AB15" s="30"/>
    </row>
    <row r="16" spans="1:46" x14ac:dyDescent="0.25">
      <c r="A16" s="28">
        <v>13</v>
      </c>
      <c r="B16" s="58" t="s">
        <v>217</v>
      </c>
      <c r="C16" s="36" t="s">
        <v>187</v>
      </c>
      <c r="D16" s="36" t="s">
        <v>222</v>
      </c>
      <c r="E16" s="36">
        <v>17</v>
      </c>
      <c r="F16" s="36"/>
      <c r="G16" s="36"/>
      <c r="H16" s="36">
        <v>17</v>
      </c>
      <c r="I16" s="36"/>
      <c r="J16" s="36"/>
      <c r="K16" s="36"/>
      <c r="L16" s="36"/>
      <c r="M16" s="36"/>
      <c r="N16" s="36"/>
      <c r="O16" s="36"/>
      <c r="P16" s="36"/>
      <c r="Q16" s="30">
        <v>20</v>
      </c>
      <c r="R16" s="30"/>
      <c r="S16" s="32">
        <v>20</v>
      </c>
      <c r="T16" s="32">
        <v>20</v>
      </c>
      <c r="U16" s="32"/>
      <c r="V16" s="32"/>
      <c r="W16" s="47">
        <v>46105</v>
      </c>
      <c r="X16" s="47" t="s">
        <v>233</v>
      </c>
      <c r="Y16" s="28" t="s">
        <v>202</v>
      </c>
      <c r="Z16" s="45"/>
      <c r="AA16" s="63">
        <v>1000</v>
      </c>
      <c r="AB16" s="30"/>
    </row>
    <row r="17" spans="1:28" x14ac:dyDescent="0.25">
      <c r="A17" s="28">
        <v>14</v>
      </c>
      <c r="B17" s="58" t="s">
        <v>218</v>
      </c>
      <c r="C17" s="36" t="s">
        <v>187</v>
      </c>
      <c r="D17" s="36" t="s">
        <v>222</v>
      </c>
      <c r="E17" s="36">
        <v>17</v>
      </c>
      <c r="F17" s="36"/>
      <c r="G17" s="36"/>
      <c r="H17" s="36">
        <v>17</v>
      </c>
      <c r="I17" s="36"/>
      <c r="J17" s="36"/>
      <c r="K17" s="36"/>
      <c r="L17" s="36"/>
      <c r="M17" s="36"/>
      <c r="N17" s="36"/>
      <c r="O17" s="36"/>
      <c r="P17" s="36"/>
      <c r="Q17" s="30">
        <v>20</v>
      </c>
      <c r="R17" s="30"/>
      <c r="S17" s="32">
        <v>20</v>
      </c>
      <c r="T17" s="32">
        <v>20</v>
      </c>
      <c r="U17" s="32"/>
      <c r="V17" s="32"/>
      <c r="W17" s="47">
        <v>46105</v>
      </c>
      <c r="X17" s="47" t="s">
        <v>234</v>
      </c>
      <c r="Y17" s="28" t="s">
        <v>202</v>
      </c>
      <c r="Z17" s="45"/>
      <c r="AA17" s="63">
        <v>900</v>
      </c>
      <c r="AB17" s="30"/>
    </row>
    <row r="18" spans="1:28" x14ac:dyDescent="0.25">
      <c r="A18" s="28">
        <v>15</v>
      </c>
      <c r="B18" s="58" t="s">
        <v>219</v>
      </c>
      <c r="C18" s="36" t="s">
        <v>187</v>
      </c>
      <c r="D18" s="36" t="s">
        <v>222</v>
      </c>
      <c r="E18" s="36"/>
      <c r="F18" s="36"/>
      <c r="G18" s="36"/>
      <c r="H18" s="36"/>
      <c r="I18" s="36"/>
      <c r="J18" s="36"/>
      <c r="K18" s="36"/>
      <c r="L18" s="36"/>
      <c r="M18" s="36">
        <v>5</v>
      </c>
      <c r="N18" s="36"/>
      <c r="O18" s="36"/>
      <c r="P18" s="36"/>
      <c r="Q18" s="30">
        <v>5</v>
      </c>
      <c r="R18" s="30"/>
      <c r="S18" s="32">
        <v>10</v>
      </c>
      <c r="T18" s="32"/>
      <c r="U18" s="32"/>
      <c r="V18" s="32"/>
      <c r="W18" s="47">
        <v>46105</v>
      </c>
      <c r="X18" s="47" t="s">
        <v>235</v>
      </c>
      <c r="Y18" s="28"/>
      <c r="Z18" s="45"/>
      <c r="AA18" s="63">
        <v>500</v>
      </c>
      <c r="AB18" s="30"/>
    </row>
    <row r="19" spans="1:28" x14ac:dyDescent="0.25">
      <c r="A19" s="28">
        <v>16</v>
      </c>
      <c r="B19" s="59" t="s">
        <v>220</v>
      </c>
      <c r="C19" s="36" t="s">
        <v>187</v>
      </c>
      <c r="D19" s="36" t="s">
        <v>222</v>
      </c>
      <c r="E19" s="36"/>
      <c r="F19" s="36"/>
      <c r="G19" s="36"/>
      <c r="H19" s="36"/>
      <c r="I19" s="36"/>
      <c r="J19" s="36"/>
      <c r="K19" s="36">
        <v>10</v>
      </c>
      <c r="L19" s="36"/>
      <c r="M19" s="36"/>
      <c r="N19" s="36"/>
      <c r="O19" s="36"/>
      <c r="P19" s="36">
        <v>2</v>
      </c>
      <c r="Q19" s="30"/>
      <c r="R19" s="30"/>
      <c r="S19" s="32"/>
      <c r="T19" s="32"/>
      <c r="U19" s="32"/>
      <c r="V19" s="32"/>
      <c r="W19" s="47">
        <v>46105</v>
      </c>
      <c r="X19" s="47" t="s">
        <v>236</v>
      </c>
      <c r="Y19" s="28"/>
      <c r="Z19" s="45"/>
      <c r="AA19" s="63">
        <v>100</v>
      </c>
      <c r="AB19" s="30"/>
    </row>
    <row r="20" spans="1:28" x14ac:dyDescent="0.25">
      <c r="A20" s="28">
        <v>17</v>
      </c>
      <c r="B20" s="58" t="s">
        <v>221</v>
      </c>
      <c r="C20" s="36" t="s">
        <v>187</v>
      </c>
      <c r="D20" s="36" t="s">
        <v>222</v>
      </c>
      <c r="E20" s="36"/>
      <c r="F20" s="36"/>
      <c r="G20" s="36"/>
      <c r="H20" s="36"/>
      <c r="I20" s="36">
        <v>5</v>
      </c>
      <c r="J20" s="36"/>
      <c r="K20" s="36"/>
      <c r="L20" s="36"/>
      <c r="M20" s="36">
        <v>2</v>
      </c>
      <c r="N20" s="36"/>
      <c r="O20" s="36"/>
      <c r="P20" s="36"/>
      <c r="Q20" s="30">
        <v>18</v>
      </c>
      <c r="R20" s="30"/>
      <c r="S20" s="32">
        <v>18</v>
      </c>
      <c r="T20" s="32"/>
      <c r="U20" s="32"/>
      <c r="V20" s="32"/>
      <c r="W20" s="47">
        <v>46105</v>
      </c>
      <c r="X20" s="47" t="s">
        <v>237</v>
      </c>
      <c r="Y20" s="28" t="s">
        <v>202</v>
      </c>
      <c r="Z20" s="45"/>
      <c r="AA20" s="57">
        <v>600</v>
      </c>
      <c r="AB20" s="30"/>
    </row>
    <row r="21" spans="1:28" x14ac:dyDescent="0.25">
      <c r="A21" s="28">
        <v>18</v>
      </c>
      <c r="B21" s="36" t="s">
        <v>238</v>
      </c>
      <c r="C21" s="36" t="s">
        <v>187</v>
      </c>
      <c r="D21" s="36" t="s">
        <v>200</v>
      </c>
      <c r="E21" s="36"/>
      <c r="F21" s="36"/>
      <c r="G21" s="36"/>
      <c r="H21" s="36">
        <v>8</v>
      </c>
      <c r="I21" s="36">
        <v>10</v>
      </c>
      <c r="J21" s="36"/>
      <c r="K21" s="36">
        <v>12</v>
      </c>
      <c r="L21" s="36"/>
      <c r="M21" s="36">
        <v>12</v>
      </c>
      <c r="N21" s="36"/>
      <c r="O21" s="36">
        <v>12</v>
      </c>
      <c r="P21" s="36">
        <v>12</v>
      </c>
      <c r="Q21" s="30">
        <v>10</v>
      </c>
      <c r="R21" s="30"/>
      <c r="S21" s="32">
        <v>10</v>
      </c>
      <c r="T21" s="32"/>
      <c r="U21" s="32"/>
      <c r="V21" s="32"/>
      <c r="W21" s="47">
        <v>46107</v>
      </c>
      <c r="X21" s="47" t="s">
        <v>239</v>
      </c>
      <c r="Y21" s="28" t="s">
        <v>202</v>
      </c>
      <c r="Z21" s="45"/>
      <c r="AA21" s="52">
        <v>523</v>
      </c>
      <c r="AB21" s="30"/>
    </row>
    <row r="22" spans="1:28" x14ac:dyDescent="0.25">
      <c r="A22" s="28">
        <v>19</v>
      </c>
      <c r="B22" s="36" t="s">
        <v>245</v>
      </c>
      <c r="C22" s="36" t="s">
        <v>187</v>
      </c>
      <c r="D22" s="36" t="s">
        <v>246</v>
      </c>
      <c r="E22" s="36">
        <v>11</v>
      </c>
      <c r="F22" s="36"/>
      <c r="G22" s="36"/>
      <c r="H22" s="36"/>
      <c r="I22" s="36">
        <v>9</v>
      </c>
      <c r="J22" s="36"/>
      <c r="K22" s="36"/>
      <c r="L22" s="36"/>
      <c r="M22" s="36"/>
      <c r="N22" s="36"/>
      <c r="O22" s="36"/>
      <c r="P22" s="36"/>
      <c r="Q22" s="30">
        <v>10</v>
      </c>
      <c r="R22" s="30"/>
      <c r="S22" s="28"/>
      <c r="T22" s="28"/>
      <c r="U22" s="28"/>
      <c r="V22" s="28"/>
      <c r="W22" s="47">
        <v>46120</v>
      </c>
      <c r="X22" s="47" t="s">
        <v>247</v>
      </c>
      <c r="Y22" s="28" t="s">
        <v>248</v>
      </c>
      <c r="Z22" s="45"/>
      <c r="AA22" s="52">
        <v>234</v>
      </c>
      <c r="AB22" s="30"/>
    </row>
    <row r="23" spans="1:28" x14ac:dyDescent="0.25">
      <c r="A23" s="28">
        <v>20</v>
      </c>
      <c r="B23" s="36" t="s">
        <v>170</v>
      </c>
      <c r="C23" s="36" t="s">
        <v>187</v>
      </c>
      <c r="D23" s="36" t="s">
        <v>222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0"/>
      <c r="R23" s="30"/>
      <c r="S23" s="28">
        <v>10</v>
      </c>
      <c r="T23" s="28"/>
      <c r="U23" s="28"/>
      <c r="V23" s="28"/>
      <c r="W23" s="47">
        <v>46136</v>
      </c>
      <c r="X23" s="47" t="s">
        <v>293</v>
      </c>
      <c r="Y23" s="28"/>
      <c r="Z23" s="45"/>
      <c r="AA23" s="52">
        <v>873</v>
      </c>
      <c r="AB23" s="30"/>
    </row>
    <row r="24" spans="1:28" x14ac:dyDescent="0.25">
      <c r="A24" s="28">
        <v>21</v>
      </c>
      <c r="B24" s="36" t="s">
        <v>294</v>
      </c>
      <c r="C24" s="36" t="s">
        <v>187</v>
      </c>
      <c r="D24" s="36" t="s">
        <v>296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0">
        <v>38</v>
      </c>
      <c r="R24" s="30"/>
      <c r="S24" s="28"/>
      <c r="T24" s="28"/>
      <c r="U24" s="28"/>
      <c r="V24" s="28"/>
      <c r="W24" s="47">
        <v>46139</v>
      </c>
      <c r="X24" s="47" t="s">
        <v>297</v>
      </c>
      <c r="Y24" s="28" t="s">
        <v>248</v>
      </c>
      <c r="Z24" s="45"/>
      <c r="AA24" s="52"/>
      <c r="AB24" s="30"/>
    </row>
    <row r="25" spans="1:28" x14ac:dyDescent="0.25">
      <c r="A25" s="28">
        <v>22</v>
      </c>
      <c r="B25" s="36" t="s">
        <v>295</v>
      </c>
      <c r="C25" s="36" t="s">
        <v>187</v>
      </c>
      <c r="D25" s="36" t="s">
        <v>296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0">
        <v>15</v>
      </c>
      <c r="R25" s="30"/>
      <c r="S25" s="28">
        <v>15</v>
      </c>
      <c r="T25" s="28"/>
      <c r="U25" s="28"/>
      <c r="V25" s="28"/>
      <c r="W25" s="47">
        <v>46139</v>
      </c>
      <c r="X25" s="47" t="s">
        <v>298</v>
      </c>
      <c r="Y25" s="28" t="s">
        <v>248</v>
      </c>
      <c r="Z25" s="45"/>
      <c r="AA25" s="52"/>
      <c r="AB25" s="30"/>
    </row>
    <row r="26" spans="1:28" x14ac:dyDescent="0.25">
      <c r="A26" s="28">
        <v>23</v>
      </c>
      <c r="B26" s="36" t="s">
        <v>348</v>
      </c>
      <c r="C26" s="36" t="s">
        <v>187</v>
      </c>
      <c r="D26" s="36" t="s">
        <v>222</v>
      </c>
      <c r="E26" s="36"/>
      <c r="F26" s="36"/>
      <c r="G26" s="36"/>
      <c r="H26" s="36"/>
      <c r="I26" s="36"/>
      <c r="J26" s="36"/>
      <c r="K26" s="36">
        <v>13</v>
      </c>
      <c r="L26" s="36"/>
      <c r="M26" s="36">
        <v>13</v>
      </c>
      <c r="N26" s="36"/>
      <c r="O26" s="36"/>
      <c r="P26" s="36">
        <v>13</v>
      </c>
      <c r="Q26" s="30">
        <v>13</v>
      </c>
      <c r="R26" s="30"/>
      <c r="S26" s="28">
        <v>13</v>
      </c>
      <c r="T26" s="28">
        <v>13</v>
      </c>
      <c r="U26" s="28"/>
      <c r="V26" s="28"/>
      <c r="W26" s="47">
        <v>46153</v>
      </c>
      <c r="X26" s="47" t="s">
        <v>349</v>
      </c>
      <c r="Y26" s="28" t="s">
        <v>248</v>
      </c>
      <c r="Z26" s="45"/>
      <c r="AA26" s="52">
        <v>505</v>
      </c>
      <c r="AB26" s="30"/>
    </row>
    <row r="27" spans="1:28" x14ac:dyDescent="0.25">
      <c r="A27" s="28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0"/>
      <c r="R27" s="30"/>
      <c r="S27" s="28"/>
      <c r="T27" s="28"/>
      <c r="U27" s="28"/>
      <c r="V27" s="28"/>
      <c r="W27" s="47"/>
      <c r="X27" s="47"/>
      <c r="Y27" s="28"/>
      <c r="Z27" s="45"/>
      <c r="AA27" s="52"/>
      <c r="AB27" s="30"/>
    </row>
    <row r="28" spans="1:28" x14ac:dyDescent="0.25">
      <c r="A28" s="28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0"/>
      <c r="R28" s="30"/>
      <c r="S28" s="28"/>
      <c r="T28" s="28"/>
      <c r="U28" s="28"/>
      <c r="V28" s="28"/>
      <c r="W28" s="47"/>
      <c r="X28" s="47"/>
      <c r="Y28" s="28"/>
      <c r="Z28" s="45"/>
      <c r="AA28" s="52"/>
      <c r="AB28" s="30"/>
    </row>
    <row r="29" spans="1:28" x14ac:dyDescent="0.25">
      <c r="A29" s="28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0"/>
      <c r="R29" s="30"/>
      <c r="S29" s="28"/>
      <c r="T29" s="28"/>
      <c r="U29" s="28"/>
      <c r="V29" s="28"/>
      <c r="W29" s="47"/>
      <c r="X29" s="47"/>
      <c r="Y29" s="28"/>
      <c r="Z29" s="45"/>
      <c r="AA29" s="52"/>
      <c r="AB29" s="30"/>
    </row>
    <row r="30" spans="1:28" x14ac:dyDescent="0.25">
      <c r="A30" s="28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0"/>
      <c r="R30" s="30"/>
      <c r="S30" s="28"/>
      <c r="T30" s="28"/>
      <c r="U30" s="28"/>
      <c r="V30" s="28"/>
      <c r="W30" s="47"/>
      <c r="X30" s="47"/>
      <c r="Y30" s="28"/>
      <c r="Z30" s="45"/>
      <c r="AA30" s="52"/>
      <c r="AB30" s="30"/>
    </row>
    <row r="31" spans="1:28" x14ac:dyDescent="0.25">
      <c r="A31" s="28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0"/>
      <c r="R31" s="30"/>
      <c r="S31" s="28"/>
      <c r="T31" s="28"/>
      <c r="U31" s="28"/>
      <c r="V31" s="28"/>
      <c r="W31" s="47"/>
      <c r="X31" s="47"/>
      <c r="Y31" s="28"/>
      <c r="Z31" s="45"/>
      <c r="AA31" s="52"/>
      <c r="AB31" s="30"/>
    </row>
    <row r="32" spans="1:28" x14ac:dyDescent="0.25">
      <c r="A32" s="28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0"/>
      <c r="R32" s="30"/>
      <c r="S32" s="28"/>
      <c r="T32" s="28"/>
      <c r="U32" s="28"/>
      <c r="V32" s="28"/>
      <c r="W32" s="47"/>
      <c r="X32" s="47"/>
      <c r="Y32" s="28"/>
      <c r="Z32" s="45"/>
      <c r="AA32" s="52"/>
      <c r="AB32" s="30"/>
    </row>
    <row r="33" spans="1:28" x14ac:dyDescent="0.25">
      <c r="A33" s="28"/>
      <c r="B33" s="58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0"/>
      <c r="R33" s="30"/>
      <c r="S33" s="28"/>
      <c r="T33" s="28"/>
      <c r="U33" s="28"/>
      <c r="V33" s="28"/>
      <c r="W33" s="47"/>
      <c r="X33" s="47"/>
      <c r="Y33" s="28"/>
      <c r="Z33" s="45"/>
      <c r="AA33" s="52"/>
      <c r="AB33" s="30"/>
    </row>
    <row r="34" spans="1:28" x14ac:dyDescent="0.25">
      <c r="A34" s="28"/>
      <c r="B34" s="58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R34" s="30"/>
      <c r="S34" s="28"/>
      <c r="T34" s="28"/>
      <c r="U34" s="28"/>
      <c r="V34" s="28"/>
      <c r="W34" s="47"/>
      <c r="X34" s="47"/>
      <c r="Y34" s="28"/>
      <c r="Z34" s="45"/>
      <c r="AA34" s="52"/>
      <c r="AB34" s="30"/>
    </row>
    <row r="35" spans="1:28" x14ac:dyDescent="0.25">
      <c r="A35" s="28"/>
      <c r="B35" s="58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0"/>
      <c r="R35" s="30"/>
      <c r="S35" s="28"/>
      <c r="T35" s="28"/>
      <c r="U35" s="28"/>
      <c r="V35" s="28"/>
      <c r="W35" s="47"/>
      <c r="X35" s="47"/>
      <c r="Y35" s="28"/>
      <c r="Z35" s="45"/>
      <c r="AA35" s="30"/>
    </row>
    <row r="36" spans="1:28" x14ac:dyDescent="0.25">
      <c r="A36" s="28"/>
      <c r="B36" s="58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0"/>
      <c r="R36" s="30"/>
      <c r="S36" s="34"/>
      <c r="T36" s="34"/>
      <c r="U36" s="34"/>
      <c r="V36" s="34"/>
      <c r="W36" s="47"/>
      <c r="X36" s="47"/>
      <c r="Y36" s="28"/>
      <c r="Z36" s="45"/>
      <c r="AA36" s="52"/>
      <c r="AB36" s="30"/>
    </row>
    <row r="37" spans="1:28" x14ac:dyDescent="0.25">
      <c r="A37" s="28"/>
      <c r="B37" s="58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0"/>
      <c r="R37" s="30"/>
      <c r="S37" s="34"/>
      <c r="T37" s="34"/>
      <c r="U37" s="34"/>
      <c r="V37" s="34"/>
      <c r="W37" s="47"/>
      <c r="X37" s="47"/>
      <c r="Y37" s="28"/>
      <c r="Z37" s="45"/>
      <c r="AA37" s="52"/>
      <c r="AB37" s="30"/>
    </row>
    <row r="38" spans="1:28" x14ac:dyDescent="0.25">
      <c r="A38" s="28"/>
      <c r="B38" s="58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0"/>
      <c r="R38" s="30"/>
      <c r="S38" s="34"/>
      <c r="T38" s="34"/>
      <c r="U38" s="34"/>
      <c r="V38" s="34"/>
      <c r="W38" s="47"/>
      <c r="X38" s="47"/>
      <c r="Y38" s="28"/>
      <c r="Z38" s="45"/>
      <c r="AA38" s="52"/>
      <c r="AB38" s="30"/>
    </row>
    <row r="39" spans="1:28" x14ac:dyDescent="0.25">
      <c r="A39" s="28"/>
      <c r="B39" s="58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0"/>
      <c r="R39" s="30"/>
      <c r="S39" s="34"/>
      <c r="T39" s="34"/>
      <c r="U39" s="34"/>
      <c r="V39" s="34"/>
      <c r="W39" s="47"/>
      <c r="X39" s="47"/>
      <c r="Y39" s="28"/>
      <c r="Z39" s="45"/>
      <c r="AA39" s="52"/>
      <c r="AB39" s="30"/>
    </row>
    <row r="40" spans="1:28" x14ac:dyDescent="0.25">
      <c r="A40" s="28"/>
      <c r="B40" s="58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0"/>
      <c r="R40" s="30"/>
      <c r="S40" s="34"/>
      <c r="T40" s="34"/>
      <c r="U40" s="34"/>
      <c r="V40" s="34"/>
      <c r="W40" s="47"/>
      <c r="X40" s="47"/>
      <c r="Y40" s="28"/>
      <c r="Z40" s="45"/>
      <c r="AA40" s="52"/>
      <c r="AB40" s="30"/>
    </row>
    <row r="41" spans="1:28" x14ac:dyDescent="0.25">
      <c r="A41" s="28"/>
      <c r="B41" s="58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0"/>
      <c r="R41" s="30"/>
      <c r="S41" s="49"/>
      <c r="T41" s="49"/>
      <c r="U41" s="49"/>
      <c r="V41" s="49"/>
      <c r="W41" s="47"/>
      <c r="X41" s="47"/>
      <c r="Y41" s="28"/>
      <c r="Z41" s="45"/>
      <c r="AA41" s="52"/>
      <c r="AB41" s="30"/>
    </row>
    <row r="42" spans="1:28" x14ac:dyDescent="0.25">
      <c r="A42" s="28"/>
      <c r="B42" s="58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41"/>
      <c r="R42" s="30"/>
      <c r="S42" s="41"/>
      <c r="T42" s="41"/>
      <c r="U42" s="41"/>
      <c r="V42" s="41"/>
      <c r="W42" s="47"/>
      <c r="X42" s="47"/>
      <c r="Y42" s="28"/>
      <c r="Z42" s="45"/>
      <c r="AA42" s="52"/>
      <c r="AB42" s="30"/>
    </row>
    <row r="43" spans="1:28" x14ac:dyDescent="0.25">
      <c r="A43" s="28"/>
      <c r="B43" s="58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0"/>
      <c r="R43" s="30"/>
      <c r="S43" s="35"/>
      <c r="T43" s="35"/>
      <c r="U43" s="35"/>
      <c r="V43" s="35"/>
      <c r="W43" s="47"/>
      <c r="X43" s="47"/>
      <c r="Y43" s="28"/>
      <c r="Z43" s="45"/>
      <c r="AA43" s="52"/>
      <c r="AB43" s="30"/>
    </row>
    <row r="44" spans="1:28" x14ac:dyDescent="0.25">
      <c r="A44" s="28"/>
      <c r="B44" s="58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0"/>
      <c r="R44" s="30"/>
      <c r="S44" s="35"/>
      <c r="T44" s="35"/>
      <c r="U44" s="35"/>
      <c r="V44" s="35"/>
      <c r="W44" s="47"/>
      <c r="X44" s="47"/>
      <c r="Y44" s="28"/>
      <c r="Z44" s="45"/>
      <c r="AA44" s="52"/>
      <c r="AB44" s="30"/>
    </row>
    <row r="45" spans="1:28" x14ac:dyDescent="0.25">
      <c r="A45" s="28"/>
      <c r="B45" s="59"/>
      <c r="C45" s="36"/>
      <c r="D45" s="36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28"/>
      <c r="T45" s="28"/>
      <c r="U45" s="28"/>
      <c r="V45" s="28"/>
      <c r="W45" s="47"/>
      <c r="X45" s="47"/>
      <c r="Y45" s="28"/>
      <c r="Z45" s="45"/>
      <c r="AA45" s="52"/>
      <c r="AB45" s="30"/>
    </row>
    <row r="46" spans="1:28" x14ac:dyDescent="0.25">
      <c r="A46" s="37"/>
      <c r="B46" s="58"/>
      <c r="C46" s="36"/>
      <c r="D46" s="56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37"/>
      <c r="T46" s="37"/>
      <c r="U46" s="37"/>
      <c r="V46" s="37"/>
      <c r="W46" s="48"/>
      <c r="X46" s="48"/>
      <c r="Y46" s="37"/>
      <c r="Z46" s="45"/>
      <c r="AA46" s="53"/>
      <c r="AB46" s="30"/>
    </row>
    <row r="47" spans="1:28" x14ac:dyDescent="0.25">
      <c r="A47" s="28"/>
      <c r="B47" s="36"/>
      <c r="C47" s="36"/>
      <c r="D47" s="36"/>
      <c r="E47" s="30"/>
      <c r="F47" s="30"/>
      <c r="G47" s="30"/>
      <c r="H47" s="30"/>
      <c r="I47" s="30"/>
      <c r="J47" s="30"/>
      <c r="K47" s="30"/>
      <c r="L47" s="30"/>
      <c r="M47" s="36"/>
      <c r="N47" s="36"/>
      <c r="O47" s="30"/>
      <c r="P47" s="30"/>
      <c r="Q47" s="30"/>
      <c r="R47" s="30"/>
      <c r="S47" s="28"/>
      <c r="T47" s="28"/>
      <c r="U47" s="28"/>
      <c r="V47" s="28"/>
      <c r="W47" s="47"/>
      <c r="X47" s="47"/>
      <c r="Y47" s="28"/>
      <c r="Z47" s="28"/>
      <c r="AA47" s="53"/>
      <c r="AB47" s="30"/>
    </row>
    <row r="48" spans="1:28" x14ac:dyDescent="0.25">
      <c r="A48" s="37"/>
      <c r="B48" s="30"/>
      <c r="C48" s="36"/>
      <c r="D48" s="36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28"/>
      <c r="T48" s="28"/>
      <c r="U48" s="28"/>
      <c r="V48" s="28"/>
      <c r="W48" s="47"/>
      <c r="X48" s="47"/>
      <c r="Y48" s="28"/>
      <c r="Z48" s="28"/>
      <c r="AA48" s="53"/>
      <c r="AB48" s="30"/>
    </row>
    <row r="49" spans="1:28" x14ac:dyDescent="0.25">
      <c r="A49" s="28"/>
      <c r="B49" s="30"/>
      <c r="C49" s="36"/>
      <c r="D49" s="36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28"/>
      <c r="T49" s="28"/>
      <c r="U49" s="28"/>
      <c r="V49" s="28"/>
      <c r="W49" s="47"/>
      <c r="X49" s="47"/>
      <c r="Y49" s="28"/>
      <c r="Z49" s="28"/>
      <c r="AA49" s="53"/>
      <c r="AB49" s="30"/>
    </row>
    <row r="50" spans="1:28" x14ac:dyDescent="0.25">
      <c r="A50" s="28"/>
      <c r="B50" s="30"/>
      <c r="C50" s="36"/>
      <c r="D50" s="36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28"/>
      <c r="T50" s="28"/>
      <c r="U50" s="28"/>
      <c r="V50" s="28"/>
      <c r="W50" s="47"/>
      <c r="X50" s="47"/>
      <c r="Y50" s="28"/>
      <c r="Z50" s="28"/>
      <c r="AA50" s="53"/>
      <c r="AB50" s="30"/>
    </row>
    <row r="51" spans="1:28" x14ac:dyDescent="0.25">
      <c r="A51" s="37"/>
      <c r="B51" s="30"/>
      <c r="C51" s="36"/>
      <c r="D51" s="36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28"/>
      <c r="T51" s="28"/>
      <c r="U51" s="28"/>
      <c r="V51" s="28"/>
      <c r="W51" s="47"/>
      <c r="X51" s="47"/>
      <c r="Y51" s="28"/>
      <c r="Z51" s="28"/>
      <c r="AA51" s="53"/>
      <c r="AB51" s="30"/>
    </row>
    <row r="52" spans="1:28" x14ac:dyDescent="0.25">
      <c r="A52" s="28"/>
      <c r="B52" s="30"/>
      <c r="C52" s="36"/>
      <c r="D52" s="36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28"/>
      <c r="T52" s="28"/>
      <c r="U52" s="28"/>
      <c r="V52" s="28"/>
      <c r="W52" s="47"/>
      <c r="X52" s="47"/>
      <c r="Y52" s="28"/>
      <c r="Z52" s="28"/>
      <c r="AA52" s="53"/>
      <c r="AB52" s="30"/>
    </row>
    <row r="53" spans="1:28" x14ac:dyDescent="0.25">
      <c r="A53" s="28"/>
      <c r="B53" s="30"/>
      <c r="C53" s="36"/>
      <c r="D53" s="36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28"/>
      <c r="T53" s="28"/>
      <c r="U53" s="28"/>
      <c r="V53" s="28"/>
      <c r="W53" s="47"/>
      <c r="X53" s="47"/>
      <c r="Y53" s="28"/>
      <c r="Z53" s="28"/>
      <c r="AA53" s="53"/>
      <c r="AB53" s="30"/>
    </row>
    <row r="54" spans="1:28" x14ac:dyDescent="0.25">
      <c r="A54" s="28"/>
      <c r="B54" s="30"/>
      <c r="C54" s="36"/>
      <c r="D54" s="36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28"/>
      <c r="T54" s="28"/>
      <c r="U54" s="28"/>
      <c r="V54" s="28"/>
      <c r="W54" s="47"/>
      <c r="X54" s="47"/>
      <c r="Y54" s="28"/>
      <c r="Z54" s="28"/>
      <c r="AA54" s="53"/>
      <c r="AB54" s="30"/>
    </row>
    <row r="55" spans="1:28" x14ac:dyDescent="0.25">
      <c r="A55" s="28"/>
      <c r="B55" s="38"/>
      <c r="C55" s="36"/>
      <c r="D55" s="36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28"/>
      <c r="T55" s="28"/>
      <c r="U55" s="28"/>
      <c r="V55" s="28"/>
      <c r="W55" s="47"/>
      <c r="X55" s="47"/>
      <c r="Y55" s="28"/>
      <c r="Z55" s="28"/>
      <c r="AA55" s="53"/>
      <c r="AB55" s="30"/>
    </row>
    <row r="56" spans="1:28" x14ac:dyDescent="0.25">
      <c r="A56" s="28"/>
      <c r="B56" s="30"/>
      <c r="C56" s="36"/>
      <c r="D56" s="36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41"/>
      <c r="R56" s="30"/>
      <c r="S56" s="28"/>
      <c r="T56" s="28"/>
      <c r="U56" s="28"/>
      <c r="V56" s="28"/>
      <c r="W56" s="47"/>
      <c r="X56" s="47"/>
      <c r="Y56" s="28"/>
      <c r="Z56" s="28"/>
      <c r="AA56" s="53"/>
      <c r="AB56" s="30"/>
    </row>
    <row r="57" spans="1:28" x14ac:dyDescent="0.25">
      <c r="A57" s="28"/>
      <c r="B57" s="30"/>
      <c r="C57" s="36"/>
      <c r="D57" s="36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28"/>
      <c r="T57" s="28"/>
      <c r="U57" s="28"/>
      <c r="V57" s="28"/>
      <c r="W57" s="47"/>
      <c r="X57" s="47"/>
      <c r="Y57" s="28"/>
      <c r="Z57" s="28"/>
      <c r="AA57" s="53"/>
      <c r="AB57" s="30"/>
    </row>
    <row r="58" spans="1:28" x14ac:dyDescent="0.25">
      <c r="A58" s="28"/>
      <c r="B58" s="30"/>
      <c r="C58" s="36"/>
      <c r="D58" s="36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28"/>
      <c r="T58" s="28"/>
      <c r="U58" s="28"/>
      <c r="V58" s="28"/>
      <c r="W58" s="47"/>
      <c r="X58" s="47"/>
      <c r="Y58" s="28"/>
      <c r="Z58" s="28"/>
      <c r="AA58" s="53"/>
      <c r="AB58" s="30"/>
    </row>
    <row r="59" spans="1:28" x14ac:dyDescent="0.25">
      <c r="A59" s="28"/>
      <c r="B59" s="30"/>
      <c r="C59" s="36"/>
      <c r="D59" s="36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28"/>
      <c r="T59" s="28"/>
      <c r="U59" s="28"/>
      <c r="V59" s="28"/>
      <c r="W59" s="47"/>
      <c r="X59" s="47"/>
      <c r="Y59" s="28"/>
      <c r="Z59" s="28"/>
      <c r="AA59" s="53"/>
      <c r="AB59" s="30"/>
    </row>
    <row r="60" spans="1:28" x14ac:dyDescent="0.25">
      <c r="A60" s="28"/>
      <c r="B60" s="30"/>
      <c r="C60" s="36"/>
      <c r="D60" s="36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28"/>
      <c r="T60" s="28"/>
      <c r="U60" s="28"/>
      <c r="V60" s="28"/>
      <c r="W60" s="47"/>
      <c r="X60" s="47"/>
      <c r="Y60" s="28"/>
      <c r="Z60" s="28"/>
      <c r="AA60" s="53"/>
      <c r="AB60" s="30"/>
    </row>
    <row r="61" spans="1:28" x14ac:dyDescent="0.25">
      <c r="A61" s="28"/>
      <c r="B61" s="43"/>
      <c r="C61" s="43"/>
      <c r="D61" s="43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28"/>
      <c r="T61" s="28"/>
      <c r="U61" s="28"/>
      <c r="V61" s="28"/>
      <c r="W61" s="47"/>
      <c r="X61" s="47"/>
      <c r="Y61" s="28"/>
      <c r="Z61" s="28"/>
      <c r="AA61" s="53"/>
      <c r="AB61" s="30"/>
    </row>
    <row r="62" spans="1:28" x14ac:dyDescent="0.25">
      <c r="A62" s="28"/>
      <c r="B62" s="43"/>
      <c r="C62" s="43"/>
      <c r="D62" s="43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28"/>
      <c r="T62" s="28"/>
      <c r="U62" s="28"/>
      <c r="V62" s="28"/>
      <c r="W62" s="47"/>
      <c r="X62" s="47"/>
      <c r="Y62" s="28"/>
      <c r="Z62" s="28"/>
      <c r="AA62" s="53"/>
      <c r="AB62" s="30"/>
    </row>
    <row r="63" spans="1:28" x14ac:dyDescent="0.25">
      <c r="A63" s="28"/>
      <c r="B63" s="42"/>
      <c r="C63" s="43"/>
      <c r="D63" s="43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28"/>
      <c r="T63" s="28"/>
      <c r="U63" s="28"/>
      <c r="V63" s="28"/>
      <c r="W63" s="47"/>
      <c r="X63" s="47"/>
      <c r="Y63" s="28"/>
      <c r="Z63" s="30"/>
      <c r="AA63" s="53"/>
      <c r="AB63" s="30"/>
    </row>
    <row r="64" spans="1:28" x14ac:dyDescent="0.25">
      <c r="A64" s="28"/>
      <c r="B64" s="42"/>
      <c r="C64" s="43"/>
      <c r="D64" s="43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28"/>
      <c r="T64" s="28"/>
      <c r="U64" s="28"/>
      <c r="V64" s="28"/>
      <c r="W64" s="30"/>
      <c r="X64" s="30"/>
      <c r="Y64" s="30"/>
      <c r="Z64" s="30"/>
      <c r="AA64" s="53"/>
      <c r="AB64" s="30"/>
    </row>
    <row r="65" spans="1:28" x14ac:dyDescent="0.25">
      <c r="A65" s="28"/>
      <c r="B65" s="42"/>
      <c r="C65" s="43"/>
      <c r="D65" s="43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28"/>
      <c r="T65" s="28"/>
      <c r="U65" s="28"/>
      <c r="V65" s="28"/>
      <c r="W65" s="30"/>
      <c r="X65" s="30"/>
      <c r="Y65" s="30"/>
      <c r="Z65" s="30"/>
      <c r="AA65" s="53"/>
      <c r="AB65" s="30"/>
    </row>
    <row r="66" spans="1:28" x14ac:dyDescent="0.25">
      <c r="A66" s="28"/>
      <c r="B66" s="44"/>
      <c r="C66" s="43"/>
      <c r="D66" s="43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28"/>
      <c r="T66" s="28"/>
      <c r="U66" s="28"/>
      <c r="V66" s="28"/>
      <c r="W66" s="30"/>
      <c r="X66" s="30"/>
      <c r="Y66" s="30"/>
      <c r="Z66" s="30"/>
      <c r="AA66" s="53"/>
      <c r="AB66" s="30"/>
    </row>
    <row r="67" spans="1:28" x14ac:dyDescent="0.25">
      <c r="A67" s="28"/>
      <c r="B67" s="30"/>
      <c r="C67" s="43"/>
      <c r="D67" s="43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28"/>
      <c r="T67" s="28"/>
      <c r="U67" s="28"/>
      <c r="V67" s="28"/>
      <c r="W67" s="47"/>
      <c r="X67" s="47"/>
      <c r="Y67" s="28"/>
      <c r="Z67" s="28"/>
      <c r="AA67" s="53"/>
      <c r="AB67" s="30"/>
    </row>
    <row r="68" spans="1:28" x14ac:dyDescent="0.25">
      <c r="A68" s="28"/>
      <c r="B68" s="30"/>
      <c r="C68" s="43"/>
      <c r="D68" s="43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28"/>
      <c r="T68" s="28"/>
      <c r="U68" s="28"/>
      <c r="V68" s="28"/>
      <c r="W68" s="47"/>
      <c r="X68" s="47"/>
      <c r="Y68" s="28"/>
      <c r="Z68" s="30"/>
      <c r="AA68" s="53"/>
      <c r="AB68" s="30"/>
    </row>
    <row r="69" spans="1:28" x14ac:dyDescent="0.25">
      <c r="A69" s="30"/>
      <c r="B69" s="30"/>
      <c r="C69" s="43"/>
      <c r="D69" s="43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28"/>
      <c r="T69" s="28"/>
      <c r="U69" s="28"/>
      <c r="V69" s="28"/>
      <c r="W69" s="47"/>
      <c r="X69" s="47"/>
      <c r="Y69" s="28"/>
      <c r="Z69" s="30"/>
      <c r="AA69" s="53"/>
      <c r="AB69" s="30"/>
    </row>
    <row r="70" spans="1:28" x14ac:dyDescent="0.25">
      <c r="A70" s="30"/>
      <c r="B70" s="30"/>
      <c r="C70" s="43"/>
      <c r="D70" s="43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28"/>
      <c r="T70" s="28"/>
      <c r="U70" s="28"/>
      <c r="V70" s="28"/>
      <c r="W70" s="47"/>
      <c r="X70" s="47"/>
      <c r="Y70" s="28"/>
      <c r="Z70" s="30"/>
      <c r="AA70" s="53"/>
      <c r="AB70" s="30"/>
    </row>
    <row r="71" spans="1:28" x14ac:dyDescent="0.25">
      <c r="A71" s="28"/>
      <c r="B71" s="50"/>
      <c r="C71" s="43"/>
      <c r="D71" s="43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28"/>
      <c r="T71" s="28"/>
      <c r="U71" s="28"/>
      <c r="V71" s="28"/>
      <c r="W71" s="47"/>
      <c r="X71" s="47"/>
      <c r="Y71" s="28"/>
      <c r="Z71" s="30"/>
      <c r="AA71" s="53"/>
      <c r="AB71" s="30"/>
    </row>
    <row r="72" spans="1:28" x14ac:dyDescent="0.25">
      <c r="A72" s="28"/>
      <c r="B72" s="30"/>
      <c r="C72" s="43"/>
      <c r="D72" s="43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28"/>
      <c r="T72" s="28"/>
      <c r="U72" s="28"/>
      <c r="V72" s="28"/>
      <c r="W72" s="47"/>
      <c r="X72" s="47"/>
      <c r="Y72" s="28"/>
      <c r="Z72" s="30"/>
      <c r="AA72" s="53"/>
      <c r="AB72" s="30"/>
    </row>
    <row r="73" spans="1:28" x14ac:dyDescent="0.25">
      <c r="A73" s="28"/>
      <c r="B73" s="30"/>
      <c r="C73" s="43"/>
      <c r="D73" s="43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28"/>
      <c r="T73" s="28"/>
      <c r="U73" s="28"/>
      <c r="V73" s="28"/>
      <c r="W73" s="47"/>
      <c r="X73" s="47"/>
      <c r="Y73" s="28"/>
      <c r="Z73" s="30"/>
      <c r="AA73" s="53"/>
      <c r="AB73" s="30"/>
    </row>
    <row r="74" spans="1:28" x14ac:dyDescent="0.25">
      <c r="A74" s="28"/>
      <c r="B74" s="50"/>
      <c r="C74" s="43"/>
      <c r="D74" s="43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28"/>
      <c r="T74" s="28"/>
      <c r="U74" s="28"/>
      <c r="V74" s="28"/>
      <c r="W74" s="47"/>
      <c r="X74" s="47"/>
      <c r="Y74" s="28"/>
      <c r="Z74" s="30"/>
      <c r="AA74" s="53"/>
      <c r="AB74" s="30"/>
    </row>
    <row r="75" spans="1:28" x14ac:dyDescent="0.25">
      <c r="A75" s="28"/>
      <c r="B75" s="30"/>
      <c r="C75" s="43"/>
      <c r="D75" s="43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28"/>
      <c r="T75" s="28"/>
      <c r="U75" s="28"/>
      <c r="V75" s="28"/>
      <c r="W75" s="47"/>
      <c r="X75" s="47"/>
      <c r="Y75" s="28"/>
      <c r="Z75" s="30"/>
      <c r="AA75" s="53"/>
      <c r="AB75" s="30"/>
    </row>
    <row r="76" spans="1:28" x14ac:dyDescent="0.25">
      <c r="A76" s="28"/>
      <c r="B76" s="50"/>
      <c r="C76" s="43"/>
      <c r="D76" s="43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28"/>
      <c r="T76" s="28"/>
      <c r="U76" s="28"/>
      <c r="V76" s="28"/>
      <c r="W76" s="47"/>
      <c r="X76" s="47"/>
      <c r="Y76" s="28"/>
      <c r="Z76" s="30"/>
      <c r="AA76" s="53"/>
      <c r="AB76" s="30"/>
    </row>
    <row r="77" spans="1:28" x14ac:dyDescent="0.25">
      <c r="A77" s="28"/>
      <c r="B77" s="30"/>
      <c r="C77" s="43"/>
      <c r="D77" s="43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28"/>
      <c r="T77" s="28"/>
      <c r="U77" s="28"/>
      <c r="V77" s="28"/>
      <c r="W77" s="47"/>
      <c r="X77" s="47"/>
      <c r="Y77" s="28"/>
      <c r="Z77" s="30"/>
      <c r="AA77" s="53"/>
      <c r="AB77" s="30"/>
    </row>
    <row r="78" spans="1:28" x14ac:dyDescent="0.25">
      <c r="A78" s="28"/>
      <c r="B78" s="30"/>
      <c r="C78" s="43"/>
      <c r="D78" s="43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28"/>
      <c r="T78" s="28"/>
      <c r="U78" s="28"/>
      <c r="V78" s="28"/>
      <c r="W78" s="47"/>
      <c r="X78" s="47"/>
      <c r="Y78" s="28"/>
      <c r="Z78" s="30"/>
      <c r="AA78" s="53"/>
      <c r="AB78" s="30"/>
    </row>
    <row r="79" spans="1:28" x14ac:dyDescent="0.25">
      <c r="A79" s="28"/>
      <c r="B79" s="30"/>
      <c r="C79" s="43"/>
      <c r="D79" s="43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28"/>
      <c r="T79" s="28"/>
      <c r="U79" s="28"/>
      <c r="V79" s="28"/>
      <c r="W79" s="47"/>
      <c r="X79" s="47"/>
      <c r="Y79" s="28"/>
      <c r="Z79" s="30"/>
      <c r="AA79" s="53"/>
      <c r="AB79" s="30"/>
    </row>
    <row r="80" spans="1:28" x14ac:dyDescent="0.25">
      <c r="A80" s="28"/>
      <c r="B80" s="42"/>
      <c r="C80" s="43"/>
      <c r="D80" s="43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28"/>
      <c r="T80" s="28"/>
      <c r="U80" s="28"/>
      <c r="V80" s="28"/>
      <c r="W80" s="47"/>
      <c r="X80" s="47"/>
      <c r="Y80" s="28"/>
      <c r="Z80" s="30"/>
      <c r="AA80" s="53"/>
      <c r="AB80" s="30"/>
    </row>
    <row r="81" spans="1:28" x14ac:dyDescent="0.25">
      <c r="A81" s="28"/>
      <c r="B81" s="30"/>
      <c r="C81" s="43"/>
      <c r="D81" s="43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28"/>
      <c r="T81" s="28"/>
      <c r="U81" s="28"/>
      <c r="V81" s="28"/>
      <c r="W81" s="47"/>
      <c r="X81" s="47"/>
      <c r="Y81" s="28"/>
      <c r="Z81" s="30"/>
      <c r="AA81" s="53"/>
      <c r="AB81" s="30"/>
    </row>
    <row r="82" spans="1:28" x14ac:dyDescent="0.25">
      <c r="A82" s="28"/>
      <c r="B82" s="30"/>
      <c r="C82" s="43"/>
      <c r="D82" s="43"/>
      <c r="E82" s="30"/>
      <c r="F82" s="30"/>
      <c r="G82" s="30"/>
      <c r="H82" s="30"/>
      <c r="I82" s="30"/>
      <c r="J82" s="30"/>
      <c r="K82" s="30"/>
      <c r="L82" s="30"/>
      <c r="M82" s="38"/>
      <c r="N82" s="30"/>
      <c r="O82" s="30"/>
      <c r="P82" s="30"/>
      <c r="Q82" s="30"/>
      <c r="R82" s="30"/>
      <c r="S82" s="28"/>
      <c r="T82" s="28"/>
      <c r="U82" s="28"/>
      <c r="V82" s="28"/>
      <c r="W82" s="47"/>
      <c r="X82" s="47"/>
      <c r="Y82" s="28"/>
      <c r="Z82" s="30"/>
      <c r="AA82" s="53"/>
      <c r="AB82" s="30"/>
    </row>
    <row r="83" spans="1:28" x14ac:dyDescent="0.25">
      <c r="A83" s="28"/>
      <c r="B83" s="30"/>
      <c r="C83" s="43"/>
      <c r="D83" s="43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28"/>
      <c r="T83" s="28"/>
      <c r="U83" s="28"/>
      <c r="V83" s="28"/>
      <c r="W83" s="47"/>
      <c r="X83" s="47"/>
      <c r="Y83" s="28"/>
      <c r="Z83" s="30"/>
      <c r="AA83" s="53"/>
      <c r="AB83" s="30"/>
    </row>
    <row r="84" spans="1:28" x14ac:dyDescent="0.25">
      <c r="A84" s="28"/>
      <c r="B84" s="30"/>
      <c r="C84" s="43"/>
      <c r="D84" s="43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28"/>
      <c r="T84" s="28"/>
      <c r="U84" s="28"/>
      <c r="V84" s="28"/>
      <c r="W84" s="47"/>
      <c r="X84" s="47"/>
      <c r="Y84" s="28"/>
      <c r="Z84" s="30"/>
      <c r="AA84" s="53"/>
      <c r="AB84" s="30"/>
    </row>
    <row r="85" spans="1:28" x14ac:dyDescent="0.25">
      <c r="A85" s="28"/>
      <c r="B85" s="30"/>
      <c r="C85" s="43"/>
      <c r="D85" s="43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28"/>
      <c r="T85" s="28"/>
      <c r="U85" s="28"/>
      <c r="V85" s="28"/>
      <c r="W85" s="47"/>
      <c r="X85" s="47"/>
      <c r="Y85" s="28"/>
      <c r="Z85" s="30"/>
      <c r="AA85" s="53"/>
      <c r="AB85" s="30"/>
    </row>
    <row r="86" spans="1:28" x14ac:dyDescent="0.25">
      <c r="A86" s="28"/>
      <c r="B86" s="30"/>
      <c r="C86" s="43"/>
      <c r="D86" s="43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28"/>
      <c r="T86" s="28"/>
      <c r="U86" s="28"/>
      <c r="V86" s="28"/>
      <c r="W86" s="47"/>
      <c r="X86" s="47"/>
      <c r="Y86" s="28"/>
      <c r="Z86" s="30"/>
      <c r="AA86" s="53"/>
      <c r="AB86" s="30"/>
    </row>
    <row r="87" spans="1:28" x14ac:dyDescent="0.25">
      <c r="A87" s="28"/>
      <c r="B87" s="30"/>
      <c r="C87" s="43"/>
      <c r="D87" s="43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28"/>
      <c r="T87" s="28"/>
      <c r="U87" s="28"/>
      <c r="V87" s="28"/>
      <c r="W87" s="47"/>
      <c r="X87" s="47"/>
      <c r="Y87" s="28"/>
      <c r="Z87" s="30"/>
      <c r="AA87" s="53"/>
      <c r="AB87" s="30"/>
    </row>
    <row r="88" spans="1:28" x14ac:dyDescent="0.25">
      <c r="A88" s="28"/>
      <c r="B88" s="30"/>
      <c r="C88" s="43"/>
      <c r="D88" s="43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28"/>
      <c r="T88" s="28"/>
      <c r="U88" s="28"/>
      <c r="V88" s="28"/>
      <c r="W88" s="47"/>
      <c r="X88" s="47"/>
      <c r="Y88" s="28"/>
      <c r="Z88" s="30"/>
      <c r="AA88" s="53"/>
      <c r="AB88" s="30"/>
    </row>
    <row r="89" spans="1:28" x14ac:dyDescent="0.25">
      <c r="A89" s="28"/>
      <c r="B89" s="30"/>
      <c r="C89" s="43"/>
      <c r="D89" s="43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28"/>
      <c r="T89" s="28"/>
      <c r="U89" s="28"/>
      <c r="V89" s="28"/>
      <c r="W89" s="47"/>
      <c r="X89" s="47"/>
      <c r="Y89" s="28"/>
      <c r="Z89" s="30"/>
      <c r="AA89" s="30"/>
      <c r="AB89" s="30"/>
    </row>
    <row r="90" spans="1:28" x14ac:dyDescent="0.25">
      <c r="A90" s="28"/>
      <c r="B90" s="30"/>
      <c r="C90" s="43"/>
      <c r="D90" s="43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28"/>
      <c r="T90" s="28"/>
      <c r="U90" s="28"/>
      <c r="V90" s="28"/>
      <c r="W90" s="47"/>
      <c r="X90" s="47"/>
      <c r="Y90" s="28"/>
      <c r="Z90" s="30"/>
      <c r="AA90" s="30"/>
      <c r="AB90" s="30"/>
    </row>
    <row r="91" spans="1:28" x14ac:dyDescent="0.25">
      <c r="A91" s="28"/>
      <c r="B91" s="30"/>
      <c r="C91" s="43"/>
      <c r="D91" s="43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28"/>
      <c r="T91" s="28"/>
      <c r="U91" s="28"/>
      <c r="V91" s="28"/>
      <c r="W91" s="47"/>
      <c r="X91" s="47"/>
      <c r="Y91" s="28"/>
      <c r="Z91" s="30"/>
      <c r="AA91" s="30"/>
      <c r="AB91" s="30"/>
    </row>
    <row r="92" spans="1:28" x14ac:dyDescent="0.25">
      <c r="A92" s="28"/>
      <c r="B92" s="30"/>
      <c r="C92" s="43"/>
      <c r="D92" s="43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28"/>
      <c r="T92" s="28"/>
      <c r="U92" s="28"/>
      <c r="V92" s="28"/>
      <c r="W92" s="47"/>
      <c r="X92" s="47"/>
      <c r="Y92" s="28"/>
      <c r="Z92" s="30"/>
      <c r="AA92" s="30"/>
      <c r="AB92" s="30"/>
    </row>
    <row r="93" spans="1:28" x14ac:dyDescent="0.25">
      <c r="A93" s="28"/>
      <c r="B93" s="30"/>
      <c r="C93" s="43"/>
      <c r="D93" s="43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28"/>
      <c r="T93" s="28"/>
      <c r="U93" s="28"/>
      <c r="V93" s="28"/>
      <c r="W93" s="47"/>
      <c r="X93" s="47"/>
      <c r="Y93" s="28"/>
      <c r="Z93" s="30"/>
      <c r="AA93" s="30"/>
      <c r="AB93" s="30"/>
    </row>
    <row r="94" spans="1:28" x14ac:dyDescent="0.25">
      <c r="A94" s="28"/>
      <c r="B94" s="30"/>
      <c r="C94" s="43"/>
      <c r="D94" s="43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28"/>
      <c r="T94" s="28"/>
      <c r="U94" s="28"/>
      <c r="V94" s="28"/>
      <c r="W94" s="47"/>
      <c r="X94" s="47"/>
      <c r="Y94" s="28"/>
      <c r="Z94" s="30"/>
      <c r="AA94" s="30"/>
      <c r="AB94" s="30"/>
    </row>
    <row r="95" spans="1:28" x14ac:dyDescent="0.25">
      <c r="A95" s="28"/>
      <c r="B95" s="30"/>
      <c r="C95" s="43"/>
      <c r="D95" s="43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28"/>
      <c r="T95" s="28"/>
      <c r="U95" s="28"/>
      <c r="V95" s="28"/>
      <c r="W95" s="47"/>
      <c r="X95" s="47"/>
      <c r="Y95" s="28"/>
      <c r="Z95" s="30"/>
      <c r="AA95" s="30"/>
      <c r="AB95" s="30"/>
    </row>
    <row r="96" spans="1:28" x14ac:dyDescent="0.25">
      <c r="A96" s="28"/>
      <c r="B96" s="30"/>
      <c r="C96" s="43"/>
      <c r="D96" s="43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28"/>
      <c r="T96" s="28"/>
      <c r="U96" s="28"/>
      <c r="V96" s="28"/>
      <c r="W96" s="47"/>
      <c r="X96" s="47"/>
      <c r="Y96" s="28"/>
      <c r="Z96" s="30"/>
      <c r="AA96" s="30"/>
      <c r="AB96" s="30"/>
    </row>
    <row r="97" spans="1:28" x14ac:dyDescent="0.25">
      <c r="A97" s="28"/>
      <c r="B97" s="30"/>
      <c r="C97" s="43"/>
      <c r="D97" s="43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28"/>
      <c r="T97" s="28"/>
      <c r="U97" s="28"/>
      <c r="V97" s="28"/>
      <c r="W97" s="47"/>
      <c r="X97" s="47"/>
      <c r="Y97" s="28"/>
      <c r="Z97" s="30"/>
      <c r="AA97" s="30"/>
      <c r="AB97" s="30"/>
    </row>
    <row r="98" spans="1:28" x14ac:dyDescent="0.25">
      <c r="A98" s="28"/>
      <c r="B98" s="30"/>
      <c r="C98" s="43"/>
      <c r="D98" s="43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28"/>
      <c r="T98" s="28"/>
      <c r="U98" s="28"/>
      <c r="V98" s="28"/>
      <c r="W98" s="47"/>
      <c r="X98" s="47"/>
      <c r="Y98" s="28"/>
      <c r="Z98" s="30"/>
      <c r="AA98" s="30"/>
      <c r="AB98" s="30"/>
    </row>
    <row r="99" spans="1:28" x14ac:dyDescent="0.25">
      <c r="A99" s="28"/>
      <c r="B99" s="30"/>
      <c r="C99" s="43"/>
      <c r="D99" s="43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28"/>
      <c r="T99" s="28"/>
      <c r="U99" s="28"/>
      <c r="V99" s="28"/>
      <c r="W99" s="47"/>
      <c r="X99" s="47"/>
      <c r="Y99" s="28"/>
      <c r="Z99" s="30"/>
      <c r="AA99" s="30"/>
      <c r="AB99" s="30"/>
    </row>
    <row r="100" spans="1:28" x14ac:dyDescent="0.25">
      <c r="A100" s="28"/>
      <c r="B100" s="30"/>
      <c r="C100" s="43"/>
      <c r="D100" s="43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28"/>
      <c r="T100" s="28"/>
      <c r="U100" s="28"/>
      <c r="V100" s="28"/>
      <c r="W100" s="47"/>
      <c r="X100" s="47"/>
      <c r="Y100" s="28"/>
      <c r="Z100" s="30"/>
      <c r="AA100" s="30"/>
      <c r="AB100" s="30"/>
    </row>
    <row r="101" spans="1:28" x14ac:dyDescent="0.25">
      <c r="A101" s="28"/>
      <c r="B101" s="30"/>
      <c r="C101" s="43"/>
      <c r="D101" s="43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28"/>
      <c r="T101" s="28"/>
      <c r="U101" s="28"/>
      <c r="V101" s="28"/>
      <c r="W101" s="47"/>
      <c r="X101" s="47"/>
      <c r="Y101" s="28"/>
      <c r="Z101" s="30"/>
      <c r="AA101" s="30"/>
      <c r="AB101" s="30"/>
    </row>
    <row r="102" spans="1:28" x14ac:dyDescent="0.25">
      <c r="A102" s="28"/>
      <c r="B102" s="30"/>
      <c r="C102" s="43"/>
      <c r="D102" s="43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28"/>
      <c r="T102" s="28"/>
      <c r="U102" s="28"/>
      <c r="V102" s="28"/>
      <c r="W102" s="47"/>
      <c r="X102" s="47"/>
      <c r="Y102" s="28"/>
      <c r="Z102" s="30"/>
      <c r="AA102" s="30"/>
      <c r="AB102" s="30"/>
    </row>
    <row r="103" spans="1:28" x14ac:dyDescent="0.25">
      <c r="A103" s="28"/>
      <c r="B103" s="30"/>
      <c r="C103" s="43"/>
      <c r="D103" s="43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28"/>
      <c r="T103" s="28"/>
      <c r="U103" s="28"/>
      <c r="V103" s="28"/>
      <c r="W103" s="47"/>
      <c r="X103" s="47"/>
      <c r="Y103" s="28"/>
      <c r="Z103" s="30"/>
      <c r="AA103" s="30"/>
      <c r="AB103" s="30"/>
    </row>
    <row r="104" spans="1:28" x14ac:dyDescent="0.25">
      <c r="A104" s="28"/>
      <c r="B104" s="30"/>
      <c r="C104" s="43"/>
      <c r="D104" s="43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28"/>
      <c r="T104" s="28"/>
      <c r="U104" s="28"/>
      <c r="V104" s="28"/>
      <c r="W104" s="47"/>
      <c r="X104" s="47"/>
      <c r="Y104" s="28"/>
      <c r="Z104" s="30"/>
      <c r="AA104" s="30"/>
      <c r="AB104" s="30"/>
    </row>
    <row r="105" spans="1:28" x14ac:dyDescent="0.25">
      <c r="A105" s="28"/>
      <c r="B105" s="30"/>
      <c r="C105" s="43"/>
      <c r="D105" s="43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28"/>
      <c r="T105" s="28"/>
      <c r="U105" s="28"/>
      <c r="V105" s="28"/>
      <c r="W105" s="47"/>
      <c r="X105" s="47"/>
      <c r="Y105" s="28"/>
      <c r="Z105" s="30"/>
      <c r="AA105" s="30"/>
      <c r="AB105" s="30"/>
    </row>
    <row r="106" spans="1:28" x14ac:dyDescent="0.25">
      <c r="A106" s="28"/>
      <c r="B106" s="30"/>
      <c r="C106" s="43"/>
      <c r="D106" s="43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28"/>
      <c r="T106" s="28"/>
      <c r="U106" s="28"/>
      <c r="V106" s="28"/>
      <c r="W106" s="47"/>
      <c r="X106" s="47"/>
      <c r="Y106" s="28"/>
      <c r="Z106" s="30"/>
      <c r="AA106" s="30"/>
      <c r="AB106" s="30"/>
    </row>
    <row r="107" spans="1:28" x14ac:dyDescent="0.25">
      <c r="A107" s="28"/>
      <c r="B107" s="30"/>
      <c r="C107" s="43"/>
      <c r="D107" s="43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28"/>
      <c r="T107" s="28"/>
      <c r="U107" s="28"/>
      <c r="V107" s="28"/>
      <c r="W107" s="47"/>
      <c r="X107" s="47"/>
      <c r="Y107" s="28"/>
      <c r="Z107" s="30"/>
      <c r="AA107" s="30"/>
      <c r="AB107" s="30"/>
    </row>
    <row r="108" spans="1:28" x14ac:dyDescent="0.25">
      <c r="A108" s="28"/>
      <c r="B108" s="30"/>
      <c r="C108" s="43"/>
      <c r="D108" s="43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28"/>
      <c r="T108" s="28"/>
      <c r="U108" s="28"/>
      <c r="V108" s="28"/>
      <c r="W108" s="47"/>
      <c r="X108" s="47"/>
      <c r="Y108" s="28"/>
      <c r="Z108" s="30"/>
      <c r="AA108" s="30"/>
      <c r="AB108" s="30"/>
    </row>
    <row r="109" spans="1:28" x14ac:dyDescent="0.25">
      <c r="A109" s="28"/>
      <c r="B109" s="44"/>
      <c r="C109" s="43"/>
      <c r="D109" s="43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28"/>
      <c r="T109" s="28"/>
      <c r="U109" s="28"/>
      <c r="V109" s="28"/>
      <c r="W109" s="47"/>
      <c r="X109" s="47"/>
      <c r="Y109" s="28"/>
      <c r="Z109" s="30"/>
      <c r="AA109" s="53"/>
      <c r="AB109" s="30"/>
    </row>
    <row r="110" spans="1:28" x14ac:dyDescent="0.25">
      <c r="A110" s="28"/>
      <c r="B110" s="44"/>
      <c r="C110" s="43"/>
      <c r="D110" s="43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28"/>
      <c r="T110" s="28"/>
      <c r="U110" s="28"/>
      <c r="V110" s="28"/>
      <c r="W110" s="47"/>
      <c r="X110" s="47"/>
      <c r="Y110" s="28"/>
      <c r="Z110" s="30"/>
      <c r="AA110" s="53"/>
      <c r="AB110" s="30"/>
    </row>
    <row r="111" spans="1:28" x14ac:dyDescent="0.25">
      <c r="A111" s="28"/>
      <c r="B111" s="44"/>
      <c r="C111" s="43"/>
      <c r="D111" s="43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28"/>
      <c r="T111" s="28"/>
      <c r="U111" s="28"/>
      <c r="V111" s="28"/>
      <c r="W111" s="47"/>
      <c r="X111" s="47"/>
      <c r="Y111" s="28"/>
      <c r="Z111" s="30"/>
      <c r="AA111" s="53"/>
      <c r="AB111" s="30"/>
    </row>
    <row r="112" spans="1:28" x14ac:dyDescent="0.25">
      <c r="A112" s="28"/>
      <c r="B112" s="44"/>
      <c r="C112" s="43"/>
      <c r="D112" s="43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28"/>
      <c r="T112" s="28"/>
      <c r="U112" s="28"/>
      <c r="V112" s="28"/>
      <c r="W112" s="47"/>
      <c r="X112" s="47"/>
      <c r="Y112" s="28"/>
      <c r="Z112" s="30"/>
      <c r="AA112" s="53"/>
      <c r="AB112" s="30"/>
    </row>
    <row r="113" spans="1:28" x14ac:dyDescent="0.25">
      <c r="A113" s="28"/>
      <c r="B113" s="44"/>
      <c r="C113" s="43"/>
      <c r="D113" s="43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28"/>
      <c r="T113" s="28"/>
      <c r="U113" s="28"/>
      <c r="V113" s="28"/>
      <c r="W113" s="47"/>
      <c r="X113" s="47"/>
      <c r="Y113" s="28"/>
      <c r="Z113" s="30"/>
      <c r="AA113" s="53"/>
      <c r="AB113" s="30"/>
    </row>
    <row r="114" spans="1:28" x14ac:dyDescent="0.25">
      <c r="A114" s="28"/>
      <c r="B114" s="30"/>
      <c r="C114" s="43"/>
      <c r="D114" s="43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28"/>
      <c r="T114" s="28"/>
      <c r="U114" s="28"/>
      <c r="V114" s="28"/>
      <c r="W114" s="47"/>
      <c r="X114" s="47"/>
      <c r="Y114" s="28"/>
      <c r="Z114" s="30"/>
      <c r="AA114" s="30"/>
      <c r="AB114" s="30"/>
    </row>
    <row r="115" spans="1:28" x14ac:dyDescent="0.25">
      <c r="S115"/>
      <c r="T115"/>
      <c r="U115"/>
      <c r="V115"/>
    </row>
  </sheetData>
  <autoFilter ref="A2:AT90" xr:uid="{6E67019F-1878-4A0A-B050-CA82A800ADFD}"/>
  <phoneticPr fontId="6" type="noConversion"/>
  <conditionalFormatting sqref="B63">
    <cfRule type="duplicateValues" dxfId="5" priority="3"/>
  </conditionalFormatting>
  <conditionalFormatting sqref="B65:B66">
    <cfRule type="duplicateValues" dxfId="4" priority="2"/>
  </conditionalFormatting>
  <conditionalFormatting sqref="B109:B113">
    <cfRule type="duplicateValues" dxfId="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7230-7FC4-4391-B399-C87D1B5B38CE}">
  <dimension ref="A1:AL120"/>
  <sheetViews>
    <sheetView tabSelected="1" zoomScale="85" zoomScaleNormal="85" workbookViewId="0">
      <pane xSplit="3" ySplit="2" topLeftCell="D6" activePane="bottomRight" state="frozen"/>
      <selection pane="topRight" activeCell="D1" sqref="D1"/>
      <selection pane="bottomLeft" activeCell="A3" sqref="A3"/>
      <selection pane="bottomRight" activeCell="J21" sqref="J21"/>
    </sheetView>
  </sheetViews>
  <sheetFormatPr defaultRowHeight="15" x14ac:dyDescent="0.25"/>
  <cols>
    <col min="1" max="1" width="15.28515625" customWidth="1"/>
    <col min="2" max="2" width="50.5703125" customWidth="1"/>
    <col min="3" max="3" width="19.5703125" bestFit="1" customWidth="1"/>
    <col min="4" max="4" width="8.7109375" customWidth="1"/>
    <col min="5" max="6" width="13.140625" bestFit="1" customWidth="1"/>
    <col min="7" max="7" width="13.7109375" customWidth="1"/>
    <col min="8" max="8" width="11.85546875" customWidth="1"/>
    <col min="9" max="9" width="10.85546875" customWidth="1"/>
    <col min="10" max="10" width="13.5703125" customWidth="1"/>
    <col min="11" max="14" width="13.7109375" customWidth="1"/>
    <col min="15" max="16" width="16.7109375" customWidth="1"/>
    <col min="17" max="18" width="26.7109375" customWidth="1"/>
    <col min="19" max="19" width="22.28515625" customWidth="1"/>
    <col min="20" max="20" width="26.85546875" bestFit="1" customWidth="1"/>
    <col min="21" max="21" width="20" bestFit="1" customWidth="1"/>
    <col min="22" max="22" width="18.5703125" bestFit="1" customWidth="1"/>
    <col min="24" max="24" width="7.7109375" bestFit="1" customWidth="1"/>
    <col min="25" max="25" width="14" bestFit="1" customWidth="1"/>
    <col min="26" max="26" width="12.85546875" customWidth="1"/>
    <col min="27" max="27" width="7.7109375" bestFit="1" customWidth="1"/>
    <col min="28" max="32" width="3.7109375" bestFit="1" customWidth="1"/>
    <col min="33" max="33" width="5" bestFit="1" customWidth="1"/>
    <col min="34" max="34" width="20.7109375" bestFit="1" customWidth="1"/>
    <col min="35" max="37" width="20.7109375" customWidth="1"/>
    <col min="38" max="38" width="8.5703125" customWidth="1"/>
  </cols>
  <sheetData>
    <row r="1" spans="1:38" x14ac:dyDescent="0.25">
      <c r="G1" s="55">
        <v>1240</v>
      </c>
      <c r="H1" s="55"/>
      <c r="I1" s="55">
        <v>1095</v>
      </c>
      <c r="J1" s="55">
        <v>1075</v>
      </c>
      <c r="K1" s="55">
        <v>1075</v>
      </c>
      <c r="L1" s="55">
        <v>1050</v>
      </c>
      <c r="M1" s="55">
        <v>1200</v>
      </c>
      <c r="N1" s="60"/>
    </row>
    <row r="2" spans="1:38" x14ac:dyDescent="0.25">
      <c r="A2" s="22" t="s">
        <v>1</v>
      </c>
      <c r="B2" s="22" t="s">
        <v>2</v>
      </c>
      <c r="C2" s="22" t="s">
        <v>172</v>
      </c>
      <c r="D2" s="22"/>
      <c r="E2" s="22" t="s">
        <v>241</v>
      </c>
      <c r="F2" s="22" t="s">
        <v>242</v>
      </c>
      <c r="G2" s="22" t="s">
        <v>189</v>
      </c>
      <c r="H2" s="22" t="s">
        <v>190</v>
      </c>
      <c r="I2" s="22" t="s">
        <v>191</v>
      </c>
      <c r="J2" s="22" t="s">
        <v>192</v>
      </c>
      <c r="K2" s="22" t="s">
        <v>193</v>
      </c>
      <c r="L2" s="22" t="s">
        <v>274</v>
      </c>
      <c r="M2" s="22" t="s">
        <v>194</v>
      </c>
      <c r="N2" s="22" t="s">
        <v>259</v>
      </c>
      <c r="O2" s="46" t="s">
        <v>182</v>
      </c>
      <c r="P2" s="22" t="s">
        <v>195</v>
      </c>
      <c r="Q2" s="22" t="s">
        <v>136</v>
      </c>
      <c r="R2" s="39" t="s">
        <v>183</v>
      </c>
      <c r="S2" s="51" t="s">
        <v>184</v>
      </c>
      <c r="T2" s="54" t="s">
        <v>185</v>
      </c>
      <c r="V2" s="54" t="s">
        <v>186</v>
      </c>
      <c r="Y2" s="14" t="e">
        <f>SUM(#REF!)</f>
        <v>#REF!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spans="1:38" x14ac:dyDescent="0.25">
      <c r="A3" s="28">
        <v>1</v>
      </c>
      <c r="B3" s="66" t="s">
        <v>188</v>
      </c>
      <c r="C3" s="36" t="s">
        <v>187</v>
      </c>
      <c r="D3" s="36"/>
      <c r="E3" s="36"/>
      <c r="F3" s="36"/>
      <c r="G3" s="36">
        <v>8</v>
      </c>
      <c r="H3" s="36">
        <v>6</v>
      </c>
      <c r="I3" s="36">
        <v>6</v>
      </c>
      <c r="J3" s="36">
        <v>6</v>
      </c>
      <c r="K3" s="36">
        <v>8</v>
      </c>
      <c r="L3" s="36">
        <v>8</v>
      </c>
      <c r="M3" s="36">
        <v>8</v>
      </c>
      <c r="N3" s="36"/>
      <c r="O3" s="47">
        <v>46066</v>
      </c>
      <c r="P3" s="47" t="s">
        <v>196</v>
      </c>
      <c r="Q3" s="28"/>
      <c r="R3" s="45"/>
      <c r="S3" s="52">
        <v>144</v>
      </c>
      <c r="T3" s="30"/>
    </row>
    <row r="4" spans="1:38" ht="15.75" x14ac:dyDescent="0.25">
      <c r="A4" s="28">
        <v>2</v>
      </c>
      <c r="B4" s="36" t="s">
        <v>204</v>
      </c>
      <c r="C4" s="36" t="s">
        <v>205</v>
      </c>
      <c r="D4" s="36"/>
      <c r="E4" s="36"/>
      <c r="F4" s="36"/>
      <c r="G4" s="36"/>
      <c r="H4" s="36"/>
      <c r="I4" s="36"/>
      <c r="J4" s="36">
        <v>1</v>
      </c>
      <c r="K4" s="36">
        <v>1</v>
      </c>
      <c r="L4" s="36">
        <v>1</v>
      </c>
      <c r="M4" s="36"/>
      <c r="N4" s="36"/>
      <c r="O4" s="47">
        <v>46073</v>
      </c>
      <c r="P4" s="47" t="s">
        <v>208</v>
      </c>
      <c r="Q4" s="28"/>
      <c r="R4" s="45"/>
      <c r="S4" s="52"/>
      <c r="T4" s="30"/>
    </row>
    <row r="5" spans="1:38" x14ac:dyDescent="0.25">
      <c r="A5" s="28">
        <v>3</v>
      </c>
      <c r="B5" s="66" t="s">
        <v>207</v>
      </c>
      <c r="C5" s="36" t="s">
        <v>187</v>
      </c>
      <c r="D5" s="36"/>
      <c r="E5" s="36"/>
      <c r="F5" s="36"/>
      <c r="G5" s="36"/>
      <c r="H5" s="36"/>
      <c r="I5" s="36">
        <v>12</v>
      </c>
      <c r="J5" s="36">
        <v>11</v>
      </c>
      <c r="K5" s="36">
        <v>9</v>
      </c>
      <c r="L5" s="36">
        <v>12</v>
      </c>
      <c r="M5" s="36">
        <v>12</v>
      </c>
      <c r="N5" s="36"/>
      <c r="O5" s="47">
        <v>46076</v>
      </c>
      <c r="P5" s="47" t="s">
        <v>206</v>
      </c>
      <c r="Q5" s="28" t="s">
        <v>202</v>
      </c>
      <c r="R5" s="45"/>
      <c r="S5" s="52">
        <v>263</v>
      </c>
      <c r="T5" s="30"/>
    </row>
    <row r="6" spans="1:38" x14ac:dyDescent="0.25">
      <c r="A6" s="28">
        <v>4</v>
      </c>
      <c r="B6" s="66" t="s">
        <v>240</v>
      </c>
      <c r="C6" s="36" t="s">
        <v>187</v>
      </c>
      <c r="D6" s="36" t="s">
        <v>243</v>
      </c>
      <c r="E6" s="36">
        <v>1</v>
      </c>
      <c r="F6" s="36">
        <v>1</v>
      </c>
      <c r="G6" s="36"/>
      <c r="H6" s="36"/>
      <c r="I6" s="36"/>
      <c r="J6" s="36"/>
      <c r="K6" s="36"/>
      <c r="L6" s="36"/>
      <c r="M6" s="36"/>
      <c r="N6" s="36"/>
      <c r="O6" s="47">
        <v>46115</v>
      </c>
      <c r="P6" s="47" t="s">
        <v>244</v>
      </c>
      <c r="Q6" s="28"/>
      <c r="R6" s="45"/>
      <c r="S6" s="52"/>
      <c r="T6" s="30"/>
    </row>
    <row r="7" spans="1:38" x14ac:dyDescent="0.25">
      <c r="A7" s="28"/>
      <c r="B7" s="36" t="s">
        <v>346</v>
      </c>
      <c r="C7" s="36" t="s">
        <v>187</v>
      </c>
      <c r="D7" s="36" t="s">
        <v>243</v>
      </c>
      <c r="E7" s="36"/>
      <c r="F7" s="36"/>
      <c r="G7" s="36"/>
      <c r="H7" s="36"/>
      <c r="I7" s="36"/>
      <c r="J7" s="36"/>
      <c r="K7" s="74">
        <v>8</v>
      </c>
      <c r="L7" s="36"/>
      <c r="M7" s="36"/>
      <c r="N7" s="36"/>
      <c r="O7" s="47">
        <v>46149</v>
      </c>
      <c r="P7" s="47" t="s">
        <v>347</v>
      </c>
      <c r="Q7" s="28"/>
      <c r="R7" s="45"/>
      <c r="S7" s="52"/>
      <c r="T7" s="30"/>
    </row>
    <row r="8" spans="1:38" x14ac:dyDescent="0.25">
      <c r="A8" s="28"/>
      <c r="B8" s="36" t="s">
        <v>240</v>
      </c>
      <c r="C8" s="36" t="s">
        <v>187</v>
      </c>
      <c r="D8" s="36" t="s">
        <v>243</v>
      </c>
      <c r="E8" s="66">
        <v>9</v>
      </c>
      <c r="F8" s="66">
        <v>9</v>
      </c>
      <c r="G8" s="66">
        <v>11</v>
      </c>
      <c r="H8" s="66">
        <v>11</v>
      </c>
      <c r="I8" s="36"/>
      <c r="J8" s="36"/>
      <c r="K8" s="36"/>
      <c r="L8" s="36"/>
      <c r="M8" s="36"/>
      <c r="N8" s="36"/>
      <c r="O8" s="47">
        <v>46119</v>
      </c>
      <c r="P8" s="65" t="s">
        <v>271</v>
      </c>
      <c r="Q8" s="28"/>
      <c r="R8" s="45" t="s">
        <v>256</v>
      </c>
      <c r="S8" s="52"/>
      <c r="T8" s="30"/>
    </row>
    <row r="9" spans="1:38" x14ac:dyDescent="0.25">
      <c r="A9" s="28"/>
      <c r="B9" s="36" t="s">
        <v>240</v>
      </c>
      <c r="C9" s="36" t="s">
        <v>187</v>
      </c>
      <c r="D9" s="36" t="s">
        <v>243</v>
      </c>
      <c r="E9" s="36"/>
      <c r="F9" s="36"/>
      <c r="G9" s="36"/>
      <c r="H9" s="36"/>
      <c r="I9" s="66">
        <v>9</v>
      </c>
      <c r="J9" s="66">
        <v>9</v>
      </c>
      <c r="K9" s="66">
        <v>11</v>
      </c>
      <c r="L9" s="66">
        <v>9</v>
      </c>
      <c r="M9" s="36"/>
      <c r="N9" s="36"/>
      <c r="O9" s="47">
        <v>46119</v>
      </c>
      <c r="P9" s="65" t="s">
        <v>272</v>
      </c>
      <c r="Q9" s="28"/>
      <c r="R9" s="45" t="s">
        <v>256</v>
      </c>
      <c r="S9" s="52"/>
      <c r="T9" s="30"/>
    </row>
    <row r="10" spans="1:38" x14ac:dyDescent="0.25">
      <c r="A10" s="28"/>
      <c r="B10" s="36" t="s">
        <v>240</v>
      </c>
      <c r="C10" s="36" t="s">
        <v>187</v>
      </c>
      <c r="D10" s="36" t="s">
        <v>243</v>
      </c>
      <c r="E10" s="36"/>
      <c r="F10" s="36"/>
      <c r="G10" s="36"/>
      <c r="H10" s="36"/>
      <c r="I10" s="36"/>
      <c r="J10" s="36"/>
      <c r="K10" s="36"/>
      <c r="L10" s="36"/>
      <c r="M10" s="66">
        <v>9</v>
      </c>
      <c r="N10" s="66">
        <v>9</v>
      </c>
      <c r="O10" s="47">
        <v>46119</v>
      </c>
      <c r="P10" s="65" t="s">
        <v>273</v>
      </c>
      <c r="Q10" s="28"/>
      <c r="R10" s="45" t="s">
        <v>256</v>
      </c>
      <c r="S10" s="52"/>
      <c r="T10" s="30"/>
    </row>
    <row r="11" spans="1:38" x14ac:dyDescent="0.25">
      <c r="A11" s="28">
        <v>5</v>
      </c>
      <c r="B11" s="66" t="s">
        <v>254</v>
      </c>
      <c r="C11" s="36" t="s">
        <v>187</v>
      </c>
      <c r="D11" s="36" t="s">
        <v>222</v>
      </c>
      <c r="E11" s="36"/>
      <c r="F11" s="36"/>
      <c r="G11" s="66">
        <v>10</v>
      </c>
      <c r="H11" s="66">
        <v>20</v>
      </c>
      <c r="I11" s="66">
        <v>20</v>
      </c>
      <c r="J11" s="36"/>
      <c r="K11" s="36"/>
      <c r="L11" s="36"/>
      <c r="M11" s="36"/>
      <c r="N11" s="36"/>
      <c r="O11" s="47">
        <v>46119</v>
      </c>
      <c r="P11" s="65" t="s">
        <v>255</v>
      </c>
      <c r="Q11" s="28"/>
      <c r="R11" s="45" t="s">
        <v>256</v>
      </c>
      <c r="S11" s="52"/>
      <c r="T11" s="30"/>
    </row>
    <row r="12" spans="1:38" x14ac:dyDescent="0.25">
      <c r="A12" s="28">
        <v>6</v>
      </c>
      <c r="B12" s="66" t="s">
        <v>257</v>
      </c>
      <c r="C12" s="36" t="s">
        <v>187</v>
      </c>
      <c r="D12" s="36" t="s">
        <v>258</v>
      </c>
      <c r="E12" s="36"/>
      <c r="F12" s="36"/>
      <c r="G12" s="36"/>
      <c r="H12" s="66">
        <v>13</v>
      </c>
      <c r="I12" s="66">
        <v>13</v>
      </c>
      <c r="J12" s="66"/>
      <c r="K12" s="66"/>
      <c r="L12" s="66"/>
      <c r="M12" s="66">
        <v>12</v>
      </c>
      <c r="N12" s="66">
        <v>12</v>
      </c>
      <c r="O12" s="47">
        <v>46119</v>
      </c>
      <c r="P12" s="65" t="s">
        <v>260</v>
      </c>
      <c r="Q12" s="28"/>
      <c r="R12" s="45" t="s">
        <v>256</v>
      </c>
      <c r="S12" s="52"/>
      <c r="T12" s="30"/>
    </row>
    <row r="13" spans="1:38" x14ac:dyDescent="0.25">
      <c r="A13" s="28">
        <v>7</v>
      </c>
      <c r="B13" s="36" t="s">
        <v>261</v>
      </c>
      <c r="C13" s="36" t="s">
        <v>187</v>
      </c>
      <c r="D13" s="36" t="s">
        <v>258</v>
      </c>
      <c r="E13" s="36"/>
      <c r="F13" s="36"/>
      <c r="G13" s="36"/>
      <c r="H13" s="36"/>
      <c r="I13" s="36"/>
      <c r="J13" s="66">
        <v>11</v>
      </c>
      <c r="K13" s="66">
        <v>11</v>
      </c>
      <c r="L13" s="66">
        <v>11</v>
      </c>
      <c r="M13" s="36"/>
      <c r="N13" s="36"/>
      <c r="O13" s="47">
        <v>46119</v>
      </c>
      <c r="P13" s="65" t="s">
        <v>262</v>
      </c>
      <c r="Q13" s="28"/>
      <c r="R13" s="45" t="s">
        <v>256</v>
      </c>
      <c r="S13" s="52"/>
      <c r="T13" s="30"/>
    </row>
    <row r="14" spans="1:38" x14ac:dyDescent="0.25">
      <c r="A14" s="28">
        <v>8</v>
      </c>
      <c r="B14" s="36" t="s">
        <v>263</v>
      </c>
      <c r="C14" s="36" t="s">
        <v>187</v>
      </c>
      <c r="D14" s="36" t="s">
        <v>265</v>
      </c>
      <c r="E14" s="36"/>
      <c r="F14" s="36"/>
      <c r="G14" s="36"/>
      <c r="H14" s="66">
        <v>15</v>
      </c>
      <c r="I14" s="66">
        <v>15</v>
      </c>
      <c r="J14" s="66">
        <v>15</v>
      </c>
      <c r="K14" s="66">
        <v>15</v>
      </c>
      <c r="L14" s="66"/>
      <c r="M14" s="36"/>
      <c r="N14" s="36"/>
      <c r="O14" s="47">
        <v>46119</v>
      </c>
      <c r="P14" s="65" t="s">
        <v>264</v>
      </c>
      <c r="Q14" s="28"/>
      <c r="R14" s="45" t="s">
        <v>256</v>
      </c>
      <c r="S14" s="52"/>
      <c r="T14" s="30"/>
    </row>
    <row r="15" spans="1:38" x14ac:dyDescent="0.25">
      <c r="A15" s="28"/>
      <c r="B15" s="36" t="s">
        <v>263</v>
      </c>
      <c r="C15" s="36" t="s">
        <v>187</v>
      </c>
      <c r="D15" s="36" t="s">
        <v>265</v>
      </c>
      <c r="E15" s="36"/>
      <c r="F15" s="36"/>
      <c r="G15" s="36"/>
      <c r="H15" s="66"/>
      <c r="I15" s="66"/>
      <c r="J15" s="66"/>
      <c r="K15" s="66"/>
      <c r="L15" s="66">
        <v>15</v>
      </c>
      <c r="M15" s="36"/>
      <c r="N15" s="36"/>
      <c r="O15" s="47">
        <v>46119</v>
      </c>
      <c r="P15" s="65" t="s">
        <v>266</v>
      </c>
      <c r="Q15" s="28"/>
      <c r="R15" s="45" t="s">
        <v>256</v>
      </c>
      <c r="S15" s="52"/>
      <c r="T15" s="30"/>
    </row>
    <row r="16" spans="1:38" x14ac:dyDescent="0.25">
      <c r="A16" s="28">
        <v>9</v>
      </c>
      <c r="B16" s="36" t="s">
        <v>267</v>
      </c>
      <c r="C16" s="36" t="s">
        <v>187</v>
      </c>
      <c r="D16" s="36" t="s">
        <v>222</v>
      </c>
      <c r="E16" s="66">
        <v>11</v>
      </c>
      <c r="F16" s="66">
        <v>9</v>
      </c>
      <c r="G16" s="66">
        <v>6</v>
      </c>
      <c r="H16" s="66">
        <v>5</v>
      </c>
      <c r="I16" s="36"/>
      <c r="J16" s="36"/>
      <c r="K16" s="36"/>
      <c r="L16" s="36"/>
      <c r="M16" s="36"/>
      <c r="N16" s="36"/>
      <c r="O16" s="47">
        <v>46119</v>
      </c>
      <c r="P16" s="65" t="s">
        <v>268</v>
      </c>
      <c r="Q16" s="28"/>
      <c r="R16" s="45" t="s">
        <v>256</v>
      </c>
      <c r="S16" s="52"/>
      <c r="T16" s="30"/>
    </row>
    <row r="17" spans="1:20" x14ac:dyDescent="0.25">
      <c r="A17" s="28"/>
      <c r="B17" s="36" t="s">
        <v>267</v>
      </c>
      <c r="C17" s="36" t="s">
        <v>187</v>
      </c>
      <c r="D17" s="36" t="s">
        <v>222</v>
      </c>
      <c r="E17" s="36"/>
      <c r="F17" s="36"/>
      <c r="G17" s="36"/>
      <c r="H17" s="36"/>
      <c r="I17" s="66">
        <v>6</v>
      </c>
      <c r="J17" s="66">
        <v>7</v>
      </c>
      <c r="K17" s="66">
        <v>5</v>
      </c>
      <c r="L17" s="66">
        <v>4</v>
      </c>
      <c r="M17" s="36"/>
      <c r="N17" s="36"/>
      <c r="O17" s="47">
        <v>46119</v>
      </c>
      <c r="P17" s="65" t="s">
        <v>269</v>
      </c>
      <c r="Q17" s="28"/>
      <c r="R17" s="45" t="s">
        <v>256</v>
      </c>
      <c r="S17" s="52"/>
      <c r="T17" s="30"/>
    </row>
    <row r="18" spans="1:20" x14ac:dyDescent="0.25">
      <c r="A18" s="28"/>
      <c r="B18" s="36" t="s">
        <v>267</v>
      </c>
      <c r="C18" s="36" t="s">
        <v>187</v>
      </c>
      <c r="D18" s="36" t="s">
        <v>222</v>
      </c>
      <c r="E18" s="36"/>
      <c r="F18" s="36"/>
      <c r="G18" s="36"/>
      <c r="H18" s="36"/>
      <c r="I18" s="36"/>
      <c r="J18" s="36"/>
      <c r="K18" s="36"/>
      <c r="L18" s="36"/>
      <c r="M18" s="36">
        <v>3</v>
      </c>
      <c r="N18" s="36"/>
      <c r="O18" s="47">
        <v>46119</v>
      </c>
      <c r="P18" s="65" t="s">
        <v>270</v>
      </c>
      <c r="Q18" s="28"/>
      <c r="R18" s="45" t="s">
        <v>256</v>
      </c>
      <c r="S18" s="52"/>
      <c r="T18" s="30"/>
    </row>
    <row r="19" spans="1:20" x14ac:dyDescent="0.25">
      <c r="A19" s="28">
        <v>10</v>
      </c>
      <c r="B19" s="36" t="s">
        <v>301</v>
      </c>
      <c r="C19" s="36" t="s">
        <v>187</v>
      </c>
      <c r="D19" s="36" t="s">
        <v>265</v>
      </c>
      <c r="E19" s="66">
        <v>16</v>
      </c>
      <c r="F19" s="66">
        <v>16</v>
      </c>
      <c r="G19" s="66">
        <v>16</v>
      </c>
      <c r="H19" s="66">
        <v>16</v>
      </c>
      <c r="I19" s="66"/>
      <c r="J19" s="36"/>
      <c r="K19" s="36"/>
      <c r="L19" s="36"/>
      <c r="M19" s="36"/>
      <c r="N19" s="36"/>
      <c r="O19" s="47">
        <v>46127</v>
      </c>
      <c r="P19" s="65" t="s">
        <v>302</v>
      </c>
      <c r="Q19" s="28"/>
      <c r="R19" s="45" t="s">
        <v>256</v>
      </c>
      <c r="S19" s="52"/>
      <c r="T19" s="30"/>
    </row>
    <row r="20" spans="1:20" x14ac:dyDescent="0.25">
      <c r="A20" s="28"/>
      <c r="B20" s="36" t="s">
        <v>301</v>
      </c>
      <c r="C20" s="36" t="s">
        <v>187</v>
      </c>
      <c r="D20" s="36" t="s">
        <v>265</v>
      </c>
      <c r="E20" s="66"/>
      <c r="F20" s="66"/>
      <c r="G20" s="66"/>
      <c r="H20" s="66"/>
      <c r="I20" s="66">
        <v>16</v>
      </c>
      <c r="J20" s="36"/>
      <c r="K20" s="36"/>
      <c r="L20" s="36"/>
      <c r="M20" s="36"/>
      <c r="N20" s="36"/>
      <c r="O20" s="47">
        <v>46127</v>
      </c>
      <c r="P20" s="65" t="s">
        <v>303</v>
      </c>
      <c r="Q20" s="28"/>
      <c r="R20" s="45" t="s">
        <v>256</v>
      </c>
      <c r="S20" s="52"/>
      <c r="T20" s="30"/>
    </row>
    <row r="21" spans="1:20" x14ac:dyDescent="0.25">
      <c r="A21" s="28">
        <v>11</v>
      </c>
      <c r="B21" s="36" t="s">
        <v>315</v>
      </c>
      <c r="C21" s="36" t="s">
        <v>187</v>
      </c>
      <c r="D21" s="36" t="s">
        <v>222</v>
      </c>
      <c r="E21" s="36"/>
      <c r="F21" s="36"/>
      <c r="G21" s="66">
        <v>8</v>
      </c>
      <c r="H21" s="66">
        <v>8</v>
      </c>
      <c r="I21" s="66">
        <v>8</v>
      </c>
      <c r="J21" s="36"/>
      <c r="K21" s="36"/>
      <c r="L21" s="36"/>
      <c r="M21" s="36"/>
      <c r="N21" s="36"/>
      <c r="O21" s="47">
        <v>46127</v>
      </c>
      <c r="P21" s="65" t="s">
        <v>304</v>
      </c>
      <c r="Q21" s="28"/>
      <c r="R21" s="45" t="s">
        <v>256</v>
      </c>
      <c r="S21" s="52"/>
      <c r="T21" s="30"/>
    </row>
    <row r="22" spans="1:20" x14ac:dyDescent="0.25">
      <c r="A22" s="28"/>
      <c r="B22" s="36" t="s">
        <v>314</v>
      </c>
      <c r="C22" s="36" t="s">
        <v>187</v>
      </c>
      <c r="D22" s="36" t="s">
        <v>222</v>
      </c>
      <c r="E22" s="36"/>
      <c r="F22" s="36"/>
      <c r="G22" s="66">
        <v>5</v>
      </c>
      <c r="H22" s="66">
        <v>6</v>
      </c>
      <c r="I22" s="66">
        <v>7</v>
      </c>
      <c r="J22" s="36"/>
      <c r="K22" s="36"/>
      <c r="L22" s="36"/>
      <c r="M22" s="36"/>
      <c r="N22" s="36"/>
      <c r="O22" s="47">
        <v>46127</v>
      </c>
      <c r="P22" s="65" t="s">
        <v>305</v>
      </c>
      <c r="Q22" s="28"/>
      <c r="R22" s="45" t="s">
        <v>256</v>
      </c>
      <c r="S22" s="52"/>
      <c r="T22" s="30"/>
    </row>
    <row r="23" spans="1:20" x14ac:dyDescent="0.25">
      <c r="A23" s="28"/>
      <c r="B23" s="36" t="s">
        <v>313</v>
      </c>
      <c r="C23" s="36" t="s">
        <v>187</v>
      </c>
      <c r="D23" s="36" t="s">
        <v>222</v>
      </c>
      <c r="E23" s="36"/>
      <c r="F23" s="36"/>
      <c r="G23" s="66">
        <v>5</v>
      </c>
      <c r="H23" s="66">
        <v>6</v>
      </c>
      <c r="I23" s="36"/>
      <c r="J23" s="36"/>
      <c r="K23" s="36"/>
      <c r="L23" s="36"/>
      <c r="M23" s="36"/>
      <c r="N23" s="36"/>
      <c r="O23" s="47">
        <v>46127</v>
      </c>
      <c r="P23" s="65" t="s">
        <v>312</v>
      </c>
      <c r="Q23" s="28"/>
      <c r="R23" s="45" t="s">
        <v>256</v>
      </c>
      <c r="S23" s="52"/>
      <c r="T23" s="30"/>
    </row>
    <row r="24" spans="1:20" x14ac:dyDescent="0.25">
      <c r="A24" s="28"/>
      <c r="B24" s="36" t="s">
        <v>316</v>
      </c>
      <c r="C24" s="36" t="s">
        <v>187</v>
      </c>
      <c r="D24" s="36" t="s">
        <v>222</v>
      </c>
      <c r="E24" s="36"/>
      <c r="F24" s="36"/>
      <c r="G24" s="66">
        <v>6</v>
      </c>
      <c r="H24" s="66">
        <v>4</v>
      </c>
      <c r="I24" s="66">
        <v>4</v>
      </c>
      <c r="J24" s="36"/>
      <c r="K24" s="36"/>
      <c r="L24" s="36"/>
      <c r="M24" s="36"/>
      <c r="N24" s="36"/>
      <c r="O24" s="47">
        <v>46127</v>
      </c>
      <c r="P24" s="65" t="s">
        <v>317</v>
      </c>
      <c r="Q24" s="28"/>
      <c r="R24" s="45" t="s">
        <v>256</v>
      </c>
      <c r="S24" s="52"/>
      <c r="T24" s="30"/>
    </row>
    <row r="25" spans="1:20" x14ac:dyDescent="0.25">
      <c r="A25" s="28">
        <v>12</v>
      </c>
      <c r="B25" s="36" t="s">
        <v>306</v>
      </c>
      <c r="C25" s="36" t="s">
        <v>205</v>
      </c>
      <c r="D25" s="36"/>
      <c r="E25" s="36">
        <v>1</v>
      </c>
      <c r="F25" s="36">
        <v>1</v>
      </c>
      <c r="G25" s="36"/>
      <c r="H25" s="36"/>
      <c r="I25" s="36"/>
      <c r="J25" s="36"/>
      <c r="K25" s="36"/>
      <c r="L25" s="36"/>
      <c r="M25" s="36">
        <v>1</v>
      </c>
      <c r="N25" s="36">
        <v>1</v>
      </c>
      <c r="O25" s="47">
        <v>46127</v>
      </c>
      <c r="P25" s="65" t="s">
        <v>307</v>
      </c>
      <c r="Q25" s="28"/>
      <c r="R25" s="45" t="s">
        <v>256</v>
      </c>
      <c r="S25" s="52"/>
      <c r="T25" s="30"/>
    </row>
    <row r="26" spans="1:20" x14ac:dyDescent="0.25">
      <c r="A26" s="28">
        <v>13</v>
      </c>
      <c r="B26" s="36" t="s">
        <v>308</v>
      </c>
      <c r="C26" s="36" t="s">
        <v>205</v>
      </c>
      <c r="D26" s="36"/>
      <c r="E26" s="36">
        <v>1</v>
      </c>
      <c r="F26" s="36">
        <v>1</v>
      </c>
      <c r="G26" s="36"/>
      <c r="H26" s="36"/>
      <c r="I26" s="36"/>
      <c r="J26" s="36"/>
      <c r="K26" s="36"/>
      <c r="L26" s="36"/>
      <c r="M26" s="36">
        <v>1</v>
      </c>
      <c r="N26" s="36">
        <v>1</v>
      </c>
      <c r="O26" s="47">
        <v>46127</v>
      </c>
      <c r="P26" s="65" t="s">
        <v>309</v>
      </c>
      <c r="Q26" s="28"/>
      <c r="R26" s="45" t="s">
        <v>256</v>
      </c>
      <c r="S26" s="52"/>
      <c r="T26" s="30"/>
    </row>
    <row r="27" spans="1:20" x14ac:dyDescent="0.25">
      <c r="A27" s="28">
        <v>14</v>
      </c>
      <c r="B27" s="36" t="s">
        <v>310</v>
      </c>
      <c r="C27" s="36" t="s">
        <v>205</v>
      </c>
      <c r="D27" s="36"/>
      <c r="E27" s="36">
        <v>1</v>
      </c>
      <c r="F27" s="36">
        <v>1</v>
      </c>
      <c r="G27" s="36"/>
      <c r="H27" s="36"/>
      <c r="I27" s="36"/>
      <c r="J27" s="36"/>
      <c r="K27" s="36"/>
      <c r="L27" s="36"/>
      <c r="M27" s="36">
        <v>1</v>
      </c>
      <c r="N27" s="36">
        <v>1</v>
      </c>
      <c r="O27" s="47">
        <v>46127</v>
      </c>
      <c r="P27" s="65" t="s">
        <v>311</v>
      </c>
      <c r="Q27" s="28"/>
      <c r="R27" s="45" t="s">
        <v>256</v>
      </c>
      <c r="S27" s="52"/>
      <c r="T27" s="30"/>
    </row>
    <row r="28" spans="1:20" x14ac:dyDescent="0.25">
      <c r="A28" s="28">
        <v>15</v>
      </c>
      <c r="B28" s="36" t="s">
        <v>295</v>
      </c>
      <c r="C28" s="36" t="s">
        <v>187</v>
      </c>
      <c r="D28" s="36" t="s">
        <v>222</v>
      </c>
      <c r="E28" s="36"/>
      <c r="F28" s="36"/>
      <c r="G28" s="36"/>
      <c r="H28" s="36"/>
      <c r="I28" s="36"/>
      <c r="J28" s="36"/>
      <c r="K28" s="36"/>
      <c r="L28" s="36"/>
      <c r="M28" s="66">
        <v>30</v>
      </c>
      <c r="N28" s="36"/>
      <c r="O28" s="47">
        <v>46127</v>
      </c>
      <c r="P28" s="65" t="s">
        <v>318</v>
      </c>
      <c r="Q28" s="28"/>
      <c r="R28" s="45" t="s">
        <v>256</v>
      </c>
      <c r="S28" s="52"/>
      <c r="T28" s="30"/>
    </row>
    <row r="29" spans="1:20" x14ac:dyDescent="0.25">
      <c r="A29" s="28">
        <v>16</v>
      </c>
      <c r="B29" s="36" t="s">
        <v>319</v>
      </c>
      <c r="C29" s="36" t="s">
        <v>187</v>
      </c>
      <c r="D29" s="36" t="s">
        <v>222</v>
      </c>
      <c r="E29" s="36"/>
      <c r="F29" s="36"/>
      <c r="G29" s="36"/>
      <c r="H29" s="66">
        <v>15</v>
      </c>
      <c r="I29" s="66">
        <v>15</v>
      </c>
      <c r="J29" s="66">
        <v>12</v>
      </c>
      <c r="K29" s="66">
        <v>10</v>
      </c>
      <c r="L29" s="36"/>
      <c r="M29" s="36"/>
      <c r="N29" s="36"/>
      <c r="O29" s="47">
        <v>46127</v>
      </c>
      <c r="P29" s="65" t="s">
        <v>320</v>
      </c>
      <c r="Q29" s="28"/>
      <c r="R29" s="45" t="s">
        <v>256</v>
      </c>
      <c r="S29" s="52"/>
      <c r="T29" s="30"/>
    </row>
    <row r="30" spans="1:20" x14ac:dyDescent="0.25">
      <c r="A30" s="28"/>
      <c r="B30" s="36" t="s">
        <v>319</v>
      </c>
      <c r="C30" s="36" t="s">
        <v>187</v>
      </c>
      <c r="D30" s="36" t="s">
        <v>222</v>
      </c>
      <c r="E30" s="36"/>
      <c r="F30" s="36"/>
      <c r="G30" s="36"/>
      <c r="H30" s="36"/>
      <c r="I30" s="36"/>
      <c r="J30" s="36"/>
      <c r="K30" s="36"/>
      <c r="L30" s="66">
        <v>11</v>
      </c>
      <c r="M30" s="66">
        <v>10</v>
      </c>
      <c r="N30" s="36"/>
      <c r="O30" s="47">
        <v>46127</v>
      </c>
      <c r="P30" s="65" t="s">
        <v>321</v>
      </c>
      <c r="Q30" s="28"/>
      <c r="R30" s="45" t="s">
        <v>256</v>
      </c>
      <c r="S30" s="52"/>
      <c r="T30" s="30"/>
    </row>
    <row r="31" spans="1:20" x14ac:dyDescent="0.25">
      <c r="A31" s="28">
        <v>17</v>
      </c>
      <c r="B31" s="36" t="s">
        <v>322</v>
      </c>
      <c r="C31" s="36" t="s">
        <v>187</v>
      </c>
      <c r="D31" s="36" t="s">
        <v>222</v>
      </c>
      <c r="E31" s="66">
        <v>12</v>
      </c>
      <c r="F31" s="66">
        <v>10</v>
      </c>
      <c r="G31" s="66">
        <v>12</v>
      </c>
      <c r="H31" s="66">
        <v>10</v>
      </c>
      <c r="I31" s="36"/>
      <c r="J31" s="36"/>
      <c r="K31" s="36"/>
      <c r="L31" s="36"/>
      <c r="M31" s="36"/>
      <c r="N31" s="36"/>
      <c r="O31" s="47">
        <v>46127</v>
      </c>
      <c r="P31" s="65" t="s">
        <v>323</v>
      </c>
      <c r="Q31" s="28"/>
      <c r="R31" s="45" t="s">
        <v>256</v>
      </c>
      <c r="S31" s="52"/>
      <c r="T31" s="30"/>
    </row>
    <row r="32" spans="1:20" x14ac:dyDescent="0.25">
      <c r="A32" s="28">
        <v>18</v>
      </c>
      <c r="B32" s="36" t="s">
        <v>324</v>
      </c>
      <c r="C32" s="36" t="s">
        <v>187</v>
      </c>
      <c r="D32" s="36" t="s">
        <v>325</v>
      </c>
      <c r="E32" s="36"/>
      <c r="F32" s="36"/>
      <c r="G32" s="36"/>
      <c r="H32" s="36"/>
      <c r="I32" s="66">
        <v>24</v>
      </c>
      <c r="J32" s="66">
        <v>25</v>
      </c>
      <c r="K32" s="66">
        <v>26</v>
      </c>
      <c r="L32" s="66">
        <v>25</v>
      </c>
      <c r="M32" s="36"/>
      <c r="N32" s="36"/>
      <c r="O32" s="47">
        <v>46135</v>
      </c>
      <c r="P32" s="65" t="s">
        <v>326</v>
      </c>
      <c r="Q32" s="28"/>
      <c r="R32" s="45" t="s">
        <v>256</v>
      </c>
      <c r="S32" s="52"/>
      <c r="T32" s="30"/>
    </row>
    <row r="33" spans="1:20" x14ac:dyDescent="0.25">
      <c r="A33" s="28"/>
      <c r="B33" s="36" t="s">
        <v>324</v>
      </c>
      <c r="C33" s="36" t="s">
        <v>187</v>
      </c>
      <c r="D33" s="36" t="s">
        <v>325</v>
      </c>
      <c r="E33" s="66">
        <v>17</v>
      </c>
      <c r="F33" s="66">
        <v>21</v>
      </c>
      <c r="G33" s="66">
        <v>20</v>
      </c>
      <c r="H33" s="66">
        <v>15</v>
      </c>
      <c r="I33" s="36"/>
      <c r="J33" s="36"/>
      <c r="K33" s="36"/>
      <c r="L33" s="36"/>
      <c r="M33" s="36"/>
      <c r="N33" s="36"/>
      <c r="O33" s="47">
        <v>46135</v>
      </c>
      <c r="P33" s="65" t="s">
        <v>331</v>
      </c>
      <c r="Q33" s="28"/>
      <c r="R33" s="45" t="s">
        <v>256</v>
      </c>
      <c r="S33" s="52"/>
      <c r="T33" s="30"/>
    </row>
    <row r="34" spans="1:20" x14ac:dyDescent="0.25">
      <c r="A34" s="28">
        <v>19</v>
      </c>
      <c r="B34" s="36" t="s">
        <v>327</v>
      </c>
      <c r="C34" s="36" t="s">
        <v>187</v>
      </c>
      <c r="D34" s="36" t="s">
        <v>288</v>
      </c>
      <c r="E34" s="66">
        <v>1</v>
      </c>
      <c r="F34" s="66">
        <v>1</v>
      </c>
      <c r="G34" s="66">
        <v>1</v>
      </c>
      <c r="H34" s="66">
        <v>1</v>
      </c>
      <c r="I34" s="66"/>
      <c r="J34" s="66"/>
      <c r="K34" s="66"/>
      <c r="L34" s="66"/>
      <c r="M34" s="66"/>
      <c r="N34" s="66"/>
      <c r="O34" s="47">
        <v>46135</v>
      </c>
      <c r="P34" s="65" t="s">
        <v>328</v>
      </c>
      <c r="Q34" s="28"/>
      <c r="R34" s="45" t="s">
        <v>256</v>
      </c>
      <c r="S34" s="52"/>
      <c r="T34" s="30"/>
    </row>
    <row r="35" spans="1:20" x14ac:dyDescent="0.25">
      <c r="A35" s="28"/>
      <c r="B35" s="36" t="s">
        <v>327</v>
      </c>
      <c r="C35" s="36" t="s">
        <v>187</v>
      </c>
      <c r="D35" s="36" t="s">
        <v>288</v>
      </c>
      <c r="E35" s="66"/>
      <c r="F35" s="66"/>
      <c r="G35" s="66"/>
      <c r="H35" s="66"/>
      <c r="I35" s="66">
        <v>1</v>
      </c>
      <c r="J35" s="66">
        <v>1</v>
      </c>
      <c r="K35" s="66">
        <v>1</v>
      </c>
      <c r="L35" s="66">
        <v>1</v>
      </c>
      <c r="M35" s="66"/>
      <c r="N35" s="66"/>
      <c r="O35" s="47">
        <v>46135</v>
      </c>
      <c r="P35" s="65" t="s">
        <v>329</v>
      </c>
      <c r="Q35" s="28"/>
      <c r="R35" s="45" t="s">
        <v>256</v>
      </c>
      <c r="S35" s="52"/>
      <c r="T35" s="30"/>
    </row>
    <row r="36" spans="1:20" x14ac:dyDescent="0.25">
      <c r="A36" s="28"/>
      <c r="B36" s="36" t="s">
        <v>327</v>
      </c>
      <c r="C36" s="36" t="s">
        <v>187</v>
      </c>
      <c r="D36" s="36" t="s">
        <v>288</v>
      </c>
      <c r="E36" s="66"/>
      <c r="F36" s="66"/>
      <c r="G36" s="66"/>
      <c r="H36" s="66"/>
      <c r="I36" s="66"/>
      <c r="J36" s="66"/>
      <c r="K36" s="66"/>
      <c r="L36" s="66"/>
      <c r="M36" s="66">
        <v>1</v>
      </c>
      <c r="N36" s="66">
        <v>1</v>
      </c>
      <c r="O36" s="47">
        <v>46135</v>
      </c>
      <c r="P36" s="65" t="s">
        <v>330</v>
      </c>
      <c r="Q36" s="28"/>
      <c r="R36" s="45" t="s">
        <v>256</v>
      </c>
      <c r="S36" s="52"/>
      <c r="T36" s="30"/>
    </row>
    <row r="37" spans="1:20" x14ac:dyDescent="0.25">
      <c r="A37" s="28">
        <v>20</v>
      </c>
      <c r="B37" s="36" t="s">
        <v>332</v>
      </c>
      <c r="C37" s="36" t="s">
        <v>187</v>
      </c>
      <c r="D37" s="36" t="s">
        <v>288</v>
      </c>
      <c r="E37" s="66">
        <v>5</v>
      </c>
      <c r="F37" s="66">
        <v>5</v>
      </c>
      <c r="G37" s="66">
        <v>5</v>
      </c>
      <c r="H37" s="66">
        <v>5</v>
      </c>
      <c r="I37" s="36"/>
      <c r="J37" s="36"/>
      <c r="K37" s="36"/>
      <c r="L37" s="36"/>
      <c r="M37" s="36"/>
      <c r="N37" s="36"/>
      <c r="O37" s="47">
        <v>46140</v>
      </c>
      <c r="P37" s="65" t="s">
        <v>333</v>
      </c>
      <c r="Q37" s="28"/>
      <c r="R37" s="45" t="s">
        <v>256</v>
      </c>
      <c r="S37" s="52"/>
      <c r="T37" s="30"/>
    </row>
    <row r="38" spans="1:20" x14ac:dyDescent="0.25">
      <c r="A38" s="28"/>
      <c r="B38" s="36" t="s">
        <v>332</v>
      </c>
      <c r="C38" s="36" t="s">
        <v>187</v>
      </c>
      <c r="D38" s="36" t="s">
        <v>288</v>
      </c>
      <c r="E38" s="36"/>
      <c r="F38" s="36"/>
      <c r="G38" s="36"/>
      <c r="H38" s="36"/>
      <c r="I38" s="66">
        <v>4</v>
      </c>
      <c r="J38" s="66">
        <v>4</v>
      </c>
      <c r="K38" s="66">
        <v>3</v>
      </c>
      <c r="L38" s="66">
        <v>3</v>
      </c>
      <c r="M38" s="36"/>
      <c r="N38" s="36"/>
      <c r="O38" s="47">
        <v>46140</v>
      </c>
      <c r="P38" s="65" t="s">
        <v>335</v>
      </c>
      <c r="Q38" s="28"/>
      <c r="R38" s="45" t="s">
        <v>256</v>
      </c>
      <c r="S38" s="52"/>
      <c r="T38" s="30"/>
    </row>
    <row r="39" spans="1:20" x14ac:dyDescent="0.25">
      <c r="A39" s="28">
        <v>21</v>
      </c>
      <c r="B39" s="36" t="s">
        <v>334</v>
      </c>
      <c r="C39" s="36" t="s">
        <v>187</v>
      </c>
      <c r="D39" s="36" t="s">
        <v>222</v>
      </c>
      <c r="E39" s="36"/>
      <c r="F39" s="36"/>
      <c r="G39" s="66">
        <v>9</v>
      </c>
      <c r="H39" s="66">
        <v>8</v>
      </c>
      <c r="I39" s="66">
        <v>9</v>
      </c>
      <c r="J39" s="66">
        <v>8</v>
      </c>
      <c r="K39" s="36"/>
      <c r="L39" s="36"/>
      <c r="M39" s="36"/>
      <c r="N39" s="36"/>
      <c r="O39" s="47">
        <v>46141</v>
      </c>
      <c r="P39" s="65" t="s">
        <v>336</v>
      </c>
      <c r="Q39" s="28"/>
      <c r="R39" s="45" t="s">
        <v>256</v>
      </c>
      <c r="S39" s="52"/>
      <c r="T39" s="30"/>
    </row>
    <row r="40" spans="1:20" x14ac:dyDescent="0.25">
      <c r="A40" s="28"/>
      <c r="B40" s="36" t="s">
        <v>334</v>
      </c>
      <c r="C40" s="36" t="s">
        <v>187</v>
      </c>
      <c r="D40" s="36" t="s">
        <v>222</v>
      </c>
      <c r="E40" s="36"/>
      <c r="F40" s="36"/>
      <c r="G40" s="36"/>
      <c r="H40" s="36"/>
      <c r="I40" s="36"/>
      <c r="J40" s="36"/>
      <c r="K40" s="66">
        <v>8</v>
      </c>
      <c r="L40" s="66">
        <v>8</v>
      </c>
      <c r="M40" s="36"/>
      <c r="N40" s="36"/>
      <c r="O40" s="47">
        <v>46141</v>
      </c>
      <c r="P40" s="65" t="s">
        <v>337</v>
      </c>
      <c r="Q40" s="28"/>
      <c r="R40" s="45" t="s">
        <v>256</v>
      </c>
      <c r="S40" s="52"/>
      <c r="T40" s="30"/>
    </row>
    <row r="41" spans="1:20" x14ac:dyDescent="0.25">
      <c r="A41" s="28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47"/>
      <c r="P41" s="47"/>
      <c r="Q41" s="28"/>
      <c r="R41" s="45"/>
      <c r="S41" s="30"/>
    </row>
    <row r="42" spans="1:20" x14ac:dyDescent="0.25">
      <c r="A42" s="28"/>
      <c r="B42" s="36"/>
      <c r="C42" s="36"/>
      <c r="D42" s="36" t="s">
        <v>338</v>
      </c>
      <c r="E42" s="36">
        <f>SUM(E8:E40)</f>
        <v>74</v>
      </c>
      <c r="F42" s="36">
        <f t="shared" ref="F42:N42" si="0">SUM(F8:F40)</f>
        <v>74</v>
      </c>
      <c r="G42" s="36">
        <f t="shared" si="0"/>
        <v>114</v>
      </c>
      <c r="H42" s="36">
        <f t="shared" si="0"/>
        <v>158</v>
      </c>
      <c r="I42" s="36">
        <f t="shared" si="0"/>
        <v>151</v>
      </c>
      <c r="J42" s="36">
        <f t="shared" si="0"/>
        <v>92</v>
      </c>
      <c r="K42" s="36">
        <f t="shared" si="0"/>
        <v>90</v>
      </c>
      <c r="L42" s="36">
        <f t="shared" si="0"/>
        <v>87</v>
      </c>
      <c r="M42" s="36">
        <f t="shared" si="0"/>
        <v>68</v>
      </c>
      <c r="N42" s="36">
        <f t="shared" si="0"/>
        <v>25</v>
      </c>
      <c r="O42" s="47"/>
      <c r="P42" s="47"/>
      <c r="Q42" s="28"/>
      <c r="R42" s="45"/>
      <c r="S42" s="52"/>
      <c r="T42" s="30"/>
    </row>
    <row r="43" spans="1:20" x14ac:dyDescent="0.25">
      <c r="A43" s="28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47"/>
      <c r="P43" s="47"/>
      <c r="Q43" s="28"/>
      <c r="R43" s="45"/>
      <c r="S43" s="52"/>
      <c r="T43" s="30"/>
    </row>
    <row r="44" spans="1:20" x14ac:dyDescent="0.25">
      <c r="A44" s="28"/>
      <c r="B44" s="36"/>
      <c r="C44" s="36"/>
      <c r="D44" s="36" t="s">
        <v>339</v>
      </c>
      <c r="E44" s="36">
        <v>150</v>
      </c>
      <c r="F44" s="36">
        <v>150</v>
      </c>
      <c r="G44" s="36">
        <v>200</v>
      </c>
      <c r="H44" s="36">
        <v>200</v>
      </c>
      <c r="I44" s="36">
        <v>200</v>
      </c>
      <c r="J44" s="36">
        <v>200</v>
      </c>
      <c r="K44" s="36">
        <v>200</v>
      </c>
      <c r="L44" s="36">
        <v>200</v>
      </c>
      <c r="M44" s="36">
        <v>150</v>
      </c>
      <c r="N44" s="36">
        <v>150</v>
      </c>
      <c r="O44" s="47"/>
      <c r="P44" s="47"/>
      <c r="Q44" s="28"/>
      <c r="R44" s="45"/>
      <c r="S44" s="52"/>
      <c r="T44" s="30"/>
    </row>
    <row r="45" spans="1:20" x14ac:dyDescent="0.25">
      <c r="A45" s="28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47"/>
      <c r="P45" s="47"/>
      <c r="Q45" s="28"/>
      <c r="R45" s="45"/>
      <c r="S45" s="52"/>
      <c r="T45" s="30"/>
    </row>
    <row r="46" spans="1:20" x14ac:dyDescent="0.25">
      <c r="A46" s="28"/>
      <c r="B46" s="36"/>
      <c r="C46" s="36"/>
      <c r="D46" s="36" t="s">
        <v>340</v>
      </c>
      <c r="E46" s="36">
        <f>E44-E42</f>
        <v>76</v>
      </c>
      <c r="F46" s="36">
        <f t="shared" ref="F46:N46" si="1">F44-F42</f>
        <v>76</v>
      </c>
      <c r="G46" s="36">
        <f t="shared" si="1"/>
        <v>86</v>
      </c>
      <c r="H46" s="36">
        <f t="shared" si="1"/>
        <v>42</v>
      </c>
      <c r="I46" s="36">
        <f t="shared" si="1"/>
        <v>49</v>
      </c>
      <c r="J46" s="36">
        <f t="shared" si="1"/>
        <v>108</v>
      </c>
      <c r="K46" s="36">
        <f t="shared" si="1"/>
        <v>110</v>
      </c>
      <c r="L46" s="36">
        <f t="shared" si="1"/>
        <v>113</v>
      </c>
      <c r="M46" s="36">
        <f t="shared" si="1"/>
        <v>82</v>
      </c>
      <c r="N46" s="36">
        <f t="shared" si="1"/>
        <v>125</v>
      </c>
      <c r="O46" s="47"/>
      <c r="P46" s="47"/>
      <c r="Q46" s="28"/>
      <c r="R46" s="45"/>
      <c r="S46" s="52"/>
      <c r="T46" s="30"/>
    </row>
    <row r="47" spans="1:20" x14ac:dyDescent="0.25">
      <c r="A47" s="28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47"/>
      <c r="P47" s="47"/>
      <c r="Q47" s="28"/>
      <c r="R47" s="45"/>
      <c r="S47" s="52"/>
      <c r="T47" s="30"/>
    </row>
    <row r="48" spans="1:20" x14ac:dyDescent="0.25">
      <c r="A48" s="28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47"/>
      <c r="P48" s="47"/>
      <c r="Q48" s="28"/>
      <c r="R48" s="45"/>
      <c r="S48" s="52"/>
      <c r="T48" s="30"/>
    </row>
    <row r="49" spans="1:20" x14ac:dyDescent="0.25">
      <c r="A49" s="28"/>
      <c r="B49" s="36"/>
      <c r="C49" s="36"/>
      <c r="D49" s="36"/>
      <c r="E49" s="36"/>
      <c r="F49" s="36"/>
      <c r="G49" s="66" t="s">
        <v>341</v>
      </c>
      <c r="H49" s="72" t="s">
        <v>342</v>
      </c>
      <c r="I49" s="72" t="s">
        <v>345</v>
      </c>
      <c r="J49" s="72" t="s">
        <v>343</v>
      </c>
      <c r="K49" s="36"/>
      <c r="L49" s="36"/>
      <c r="M49" s="36"/>
      <c r="N49" s="36"/>
      <c r="O49" s="47"/>
      <c r="P49" s="47"/>
      <c r="Q49" s="28"/>
      <c r="R49" s="45"/>
      <c r="S49" s="52"/>
      <c r="T49" s="30"/>
    </row>
    <row r="50" spans="1:20" x14ac:dyDescent="0.25">
      <c r="A50" s="28"/>
      <c r="B50" s="36"/>
      <c r="C50" s="36"/>
      <c r="D50" s="36"/>
      <c r="E50" s="36"/>
      <c r="F50" s="36"/>
      <c r="G50" s="36" t="s">
        <v>241</v>
      </c>
      <c r="H50" s="71">
        <v>150</v>
      </c>
      <c r="I50" s="71">
        <v>74</v>
      </c>
      <c r="J50" s="71">
        <f>H50-I50</f>
        <v>76</v>
      </c>
      <c r="K50" s="36"/>
      <c r="L50" s="36"/>
      <c r="M50" s="36"/>
      <c r="N50" s="36"/>
      <c r="O50" s="47"/>
      <c r="P50" s="47"/>
      <c r="Q50" s="28"/>
      <c r="R50" s="45"/>
      <c r="S50" s="52"/>
      <c r="T50" s="30"/>
    </row>
    <row r="51" spans="1:20" x14ac:dyDescent="0.25">
      <c r="A51" s="28"/>
      <c r="B51" s="30"/>
      <c r="C51" s="36"/>
      <c r="D51" s="36"/>
      <c r="E51" s="36"/>
      <c r="F51" s="36"/>
      <c r="G51" s="36" t="s">
        <v>242</v>
      </c>
      <c r="H51" s="30">
        <v>150</v>
      </c>
      <c r="I51" s="71">
        <v>74</v>
      </c>
      <c r="J51" s="71">
        <f t="shared" ref="J51:J59" si="2">H51-I51</f>
        <v>76</v>
      </c>
      <c r="K51" s="30"/>
      <c r="L51" s="30"/>
      <c r="M51" s="30"/>
      <c r="N51" s="30"/>
      <c r="O51" s="47"/>
      <c r="P51" s="47"/>
      <c r="Q51" s="28"/>
      <c r="R51" s="45"/>
      <c r="S51" s="52"/>
      <c r="T51" s="30"/>
    </row>
    <row r="52" spans="1:20" x14ac:dyDescent="0.25">
      <c r="A52" s="37"/>
      <c r="B52" s="40"/>
      <c r="C52" s="36"/>
      <c r="D52" s="56"/>
      <c r="E52" s="56"/>
      <c r="F52" s="56"/>
      <c r="G52" s="36" t="s">
        <v>189</v>
      </c>
      <c r="H52" s="30">
        <v>200</v>
      </c>
      <c r="I52" s="30">
        <v>114</v>
      </c>
      <c r="J52" s="71">
        <f t="shared" si="2"/>
        <v>86</v>
      </c>
      <c r="K52" s="40"/>
      <c r="L52" s="40"/>
      <c r="M52" s="40"/>
      <c r="N52" s="40"/>
      <c r="O52" s="48"/>
      <c r="P52" s="48"/>
      <c r="Q52" s="37"/>
      <c r="R52" s="45"/>
      <c r="S52" s="53"/>
      <c r="T52" s="30"/>
    </row>
    <row r="53" spans="1:20" x14ac:dyDescent="0.25">
      <c r="A53" s="28"/>
      <c r="B53" s="30"/>
      <c r="C53" s="36"/>
      <c r="D53" s="36"/>
      <c r="E53" s="36"/>
      <c r="F53" s="36"/>
      <c r="G53" s="36" t="s">
        <v>190</v>
      </c>
      <c r="H53" s="30">
        <v>200</v>
      </c>
      <c r="I53" s="30">
        <v>158</v>
      </c>
      <c r="J53" s="71">
        <f t="shared" si="2"/>
        <v>42</v>
      </c>
      <c r="K53" s="36"/>
      <c r="L53" s="36"/>
      <c r="M53" s="30"/>
      <c r="N53" s="30"/>
      <c r="O53" s="47"/>
      <c r="P53" s="47"/>
      <c r="Q53" s="28"/>
      <c r="R53" s="28"/>
      <c r="S53" s="53"/>
      <c r="T53" s="30"/>
    </row>
    <row r="54" spans="1:20" x14ac:dyDescent="0.25">
      <c r="A54" s="37"/>
      <c r="B54" s="30"/>
      <c r="C54" s="36"/>
      <c r="D54" s="36"/>
      <c r="E54" s="36"/>
      <c r="F54" s="36"/>
      <c r="G54" s="36" t="s">
        <v>191</v>
      </c>
      <c r="H54" s="30">
        <v>200</v>
      </c>
      <c r="I54" s="30">
        <v>151</v>
      </c>
      <c r="J54" s="71">
        <f t="shared" si="2"/>
        <v>49</v>
      </c>
      <c r="K54" s="30"/>
      <c r="L54" s="30"/>
      <c r="M54" s="30"/>
      <c r="N54" s="30"/>
      <c r="O54" s="47"/>
      <c r="P54" s="47"/>
      <c r="Q54" s="28"/>
      <c r="R54" s="28"/>
      <c r="S54" s="53"/>
      <c r="T54" s="30"/>
    </row>
    <row r="55" spans="1:20" x14ac:dyDescent="0.25">
      <c r="A55" s="28"/>
      <c r="B55" s="30"/>
      <c r="C55" s="36"/>
      <c r="D55" s="36"/>
      <c r="E55" s="36"/>
      <c r="F55" s="36"/>
      <c r="G55" s="36" t="s">
        <v>192</v>
      </c>
      <c r="H55" s="30">
        <v>200</v>
      </c>
      <c r="I55" s="30">
        <v>92</v>
      </c>
      <c r="J55" s="71">
        <f t="shared" si="2"/>
        <v>108</v>
      </c>
      <c r="K55" s="30"/>
      <c r="L55" s="30"/>
      <c r="M55" s="30"/>
      <c r="N55" s="30"/>
      <c r="O55" s="47"/>
      <c r="P55" s="47"/>
      <c r="Q55" s="28"/>
      <c r="R55" s="28"/>
      <c r="S55" s="53"/>
      <c r="T55" s="30"/>
    </row>
    <row r="56" spans="1:20" x14ac:dyDescent="0.25">
      <c r="A56" s="28"/>
      <c r="B56" s="30"/>
      <c r="C56" s="36"/>
      <c r="D56" s="36"/>
      <c r="E56" s="36"/>
      <c r="F56" s="36"/>
      <c r="G56" s="36" t="s">
        <v>193</v>
      </c>
      <c r="H56" s="30">
        <v>200</v>
      </c>
      <c r="I56" s="30">
        <v>90</v>
      </c>
      <c r="J56" s="71">
        <f t="shared" si="2"/>
        <v>110</v>
      </c>
      <c r="K56" s="30"/>
      <c r="L56" s="30"/>
      <c r="M56" s="30"/>
      <c r="N56" s="30"/>
      <c r="O56" s="47"/>
      <c r="P56" s="47"/>
      <c r="Q56" s="28"/>
      <c r="R56" s="28"/>
      <c r="S56" s="53"/>
      <c r="T56" s="30"/>
    </row>
    <row r="57" spans="1:20" x14ac:dyDescent="0.25">
      <c r="A57" s="37"/>
      <c r="B57" s="30"/>
      <c r="C57" s="36"/>
      <c r="D57" s="36"/>
      <c r="E57" s="36"/>
      <c r="F57" s="36"/>
      <c r="G57" s="36" t="s">
        <v>344</v>
      </c>
      <c r="H57" s="30">
        <v>200</v>
      </c>
      <c r="I57" s="30">
        <v>87</v>
      </c>
      <c r="J57" s="71">
        <f t="shared" si="2"/>
        <v>113</v>
      </c>
      <c r="K57" s="30"/>
      <c r="L57" s="30"/>
      <c r="M57" s="30"/>
      <c r="N57" s="30"/>
      <c r="O57" s="47"/>
      <c r="P57" s="47"/>
      <c r="Q57" s="28"/>
      <c r="R57" s="28"/>
      <c r="S57" s="53"/>
      <c r="T57" s="30"/>
    </row>
    <row r="58" spans="1:20" x14ac:dyDescent="0.25">
      <c r="A58" s="28"/>
      <c r="B58" s="30"/>
      <c r="C58" s="36"/>
      <c r="D58" s="36"/>
      <c r="E58" s="36"/>
      <c r="F58" s="36"/>
      <c r="G58" s="36" t="s">
        <v>194</v>
      </c>
      <c r="H58" s="30">
        <v>150</v>
      </c>
      <c r="I58" s="30">
        <v>68</v>
      </c>
      <c r="J58" s="71">
        <f t="shared" si="2"/>
        <v>82</v>
      </c>
      <c r="K58" s="30"/>
      <c r="L58" s="30"/>
      <c r="M58" s="30"/>
      <c r="N58" s="30"/>
      <c r="O58" s="47"/>
      <c r="P58" s="47"/>
      <c r="Q58" s="28"/>
      <c r="R58" s="28"/>
      <c r="S58" s="53"/>
      <c r="T58" s="30"/>
    </row>
    <row r="59" spans="1:20" x14ac:dyDescent="0.25">
      <c r="A59" s="28"/>
      <c r="B59" s="30"/>
      <c r="C59" s="36"/>
      <c r="D59" s="36"/>
      <c r="E59" s="36"/>
      <c r="F59" s="36"/>
      <c r="G59" s="36" t="s">
        <v>259</v>
      </c>
      <c r="H59" s="30">
        <v>150</v>
      </c>
      <c r="I59" s="30">
        <v>25</v>
      </c>
      <c r="J59" s="71">
        <f t="shared" si="2"/>
        <v>125</v>
      </c>
      <c r="K59" s="30"/>
      <c r="L59" s="30"/>
      <c r="M59" s="30"/>
      <c r="N59" s="30"/>
      <c r="O59" s="47"/>
      <c r="P59" s="47"/>
      <c r="Q59" s="28"/>
      <c r="R59" s="28"/>
      <c r="S59" s="53"/>
      <c r="T59" s="30"/>
    </row>
    <row r="60" spans="1:20" x14ac:dyDescent="0.25">
      <c r="A60" s="28"/>
      <c r="B60" s="30"/>
      <c r="C60" s="36"/>
      <c r="D60" s="36"/>
      <c r="E60" s="36"/>
      <c r="F60" s="36"/>
      <c r="G60" s="73" t="s">
        <v>26</v>
      </c>
      <c r="H60" s="73">
        <f>SUM(H50:H59)</f>
        <v>1800</v>
      </c>
      <c r="I60" s="73">
        <f t="shared" ref="I60:J60" si="3">SUM(I50:I59)</f>
        <v>933</v>
      </c>
      <c r="J60" s="73">
        <f t="shared" si="3"/>
        <v>867</v>
      </c>
      <c r="K60" s="30"/>
      <c r="L60" s="30"/>
      <c r="M60" s="30"/>
      <c r="N60" s="30"/>
      <c r="O60" s="47"/>
      <c r="P60" s="47"/>
      <c r="Q60" s="28"/>
      <c r="R60" s="28"/>
      <c r="S60" s="53"/>
      <c r="T60" s="30"/>
    </row>
    <row r="61" spans="1:20" x14ac:dyDescent="0.25">
      <c r="A61" s="28"/>
      <c r="B61" s="38"/>
      <c r="C61" s="36"/>
      <c r="D61" s="36"/>
      <c r="E61" s="36"/>
      <c r="F61" s="36"/>
      <c r="G61" s="30"/>
      <c r="H61" s="30"/>
      <c r="I61" s="30"/>
      <c r="J61" s="30"/>
      <c r="K61" s="30"/>
      <c r="L61" s="30"/>
      <c r="M61" s="30"/>
      <c r="N61" s="30"/>
      <c r="O61" s="47"/>
      <c r="P61" s="47"/>
      <c r="Q61" s="28"/>
      <c r="R61" s="28"/>
      <c r="S61" s="53"/>
      <c r="T61" s="30"/>
    </row>
    <row r="62" spans="1:20" x14ac:dyDescent="0.25">
      <c r="A62" s="28"/>
      <c r="B62" s="30"/>
      <c r="C62" s="36"/>
      <c r="D62" s="36"/>
      <c r="E62" s="36"/>
      <c r="F62" s="36"/>
      <c r="G62" s="30"/>
      <c r="H62" s="30"/>
      <c r="I62" s="30"/>
      <c r="J62" s="30"/>
      <c r="K62" s="30"/>
      <c r="L62" s="30"/>
      <c r="M62" s="30"/>
      <c r="N62" s="30"/>
      <c r="O62" s="47"/>
      <c r="P62" s="47"/>
      <c r="Q62" s="28"/>
      <c r="R62" s="28"/>
      <c r="S62" s="53"/>
      <c r="T62" s="30"/>
    </row>
    <row r="63" spans="1:20" x14ac:dyDescent="0.25">
      <c r="A63" s="28"/>
      <c r="B63" s="30"/>
      <c r="C63" s="36"/>
      <c r="D63" s="36"/>
      <c r="E63" s="36"/>
      <c r="F63" s="36"/>
      <c r="G63" s="30"/>
      <c r="H63" s="30"/>
      <c r="I63" s="30"/>
      <c r="J63" s="30"/>
      <c r="K63" s="30"/>
      <c r="L63" s="30"/>
      <c r="M63" s="30"/>
      <c r="N63" s="30"/>
      <c r="O63" s="47"/>
      <c r="P63" s="47"/>
      <c r="Q63" s="28"/>
      <c r="R63" s="28"/>
      <c r="S63" s="53"/>
      <c r="T63" s="30"/>
    </row>
    <row r="64" spans="1:20" x14ac:dyDescent="0.25">
      <c r="A64" s="28"/>
      <c r="B64" s="30"/>
      <c r="C64" s="36"/>
      <c r="D64" s="36"/>
      <c r="E64" s="36"/>
      <c r="F64" s="36"/>
      <c r="G64" s="30"/>
      <c r="H64" s="30"/>
      <c r="I64" s="30"/>
      <c r="J64" s="30"/>
      <c r="K64" s="30"/>
      <c r="L64" s="30"/>
      <c r="M64" s="30"/>
      <c r="N64" s="30"/>
      <c r="O64" s="47"/>
      <c r="P64" s="47"/>
      <c r="Q64" s="28"/>
      <c r="R64" s="28"/>
      <c r="S64" s="53"/>
      <c r="T64" s="30"/>
    </row>
    <row r="65" spans="1:20" x14ac:dyDescent="0.25">
      <c r="A65" s="28"/>
      <c r="B65" s="30"/>
      <c r="C65" s="36"/>
      <c r="D65" s="36"/>
      <c r="E65" s="36"/>
      <c r="F65" s="36"/>
      <c r="G65" s="30"/>
      <c r="H65" s="30"/>
      <c r="I65" s="30"/>
      <c r="J65" s="30"/>
      <c r="K65" s="30"/>
      <c r="L65" s="30"/>
      <c r="M65" s="30"/>
      <c r="N65" s="30"/>
      <c r="O65" s="47"/>
      <c r="P65" s="47"/>
      <c r="Q65" s="28"/>
      <c r="R65" s="28"/>
      <c r="S65" s="53"/>
      <c r="T65" s="30"/>
    </row>
    <row r="66" spans="1:20" x14ac:dyDescent="0.25">
      <c r="A66" s="28"/>
      <c r="B66" s="30"/>
      <c r="C66" s="36"/>
      <c r="D66" s="36"/>
      <c r="E66" s="36"/>
      <c r="F66" s="36"/>
      <c r="G66" s="30"/>
      <c r="H66" s="30"/>
      <c r="I66" s="30"/>
      <c r="J66" s="30"/>
      <c r="K66" s="30"/>
      <c r="L66" s="30"/>
      <c r="M66" s="30"/>
      <c r="N66" s="30"/>
      <c r="O66" s="47"/>
      <c r="P66" s="47"/>
      <c r="Q66" s="28"/>
      <c r="R66" s="28"/>
      <c r="S66" s="53"/>
      <c r="T66" s="30"/>
    </row>
    <row r="67" spans="1:20" x14ac:dyDescent="0.25">
      <c r="A67" s="28"/>
      <c r="B67" s="43"/>
      <c r="C67" s="43"/>
      <c r="D67" s="43"/>
      <c r="E67" s="43"/>
      <c r="F67" s="43"/>
      <c r="G67" s="30"/>
      <c r="H67" s="30"/>
      <c r="I67" s="30"/>
      <c r="J67" s="30"/>
      <c r="K67" s="30"/>
      <c r="L67" s="30"/>
      <c r="M67" s="30"/>
      <c r="N67" s="30"/>
      <c r="O67" s="47"/>
      <c r="P67" s="47"/>
      <c r="Q67" s="28"/>
      <c r="R67" s="28"/>
      <c r="S67" s="53"/>
      <c r="T67" s="30"/>
    </row>
    <row r="68" spans="1:20" x14ac:dyDescent="0.25">
      <c r="A68" s="28"/>
      <c r="B68" s="43"/>
      <c r="C68" s="43"/>
      <c r="D68" s="43"/>
      <c r="E68" s="43"/>
      <c r="F68" s="43"/>
      <c r="G68" s="30"/>
      <c r="H68" s="30"/>
      <c r="I68" s="30"/>
      <c r="J68" s="30"/>
      <c r="K68" s="30"/>
      <c r="L68" s="30"/>
      <c r="M68" s="30"/>
      <c r="N68" s="30"/>
      <c r="O68" s="47"/>
      <c r="P68" s="47"/>
      <c r="Q68" s="28"/>
      <c r="R68" s="28"/>
      <c r="S68" s="53"/>
      <c r="T68" s="30"/>
    </row>
    <row r="69" spans="1:20" x14ac:dyDescent="0.25">
      <c r="A69" s="28"/>
      <c r="B69" s="42"/>
      <c r="C69" s="43"/>
      <c r="D69" s="43"/>
      <c r="E69" s="43"/>
      <c r="F69" s="43"/>
      <c r="G69" s="30"/>
      <c r="H69" s="30"/>
      <c r="I69" s="30"/>
      <c r="J69" s="30"/>
      <c r="K69" s="30"/>
      <c r="L69" s="30"/>
      <c r="M69" s="30"/>
      <c r="N69" s="30"/>
      <c r="O69" s="47"/>
      <c r="P69" s="47"/>
      <c r="Q69" s="28"/>
      <c r="R69" s="30"/>
      <c r="S69" s="53"/>
      <c r="T69" s="30"/>
    </row>
    <row r="70" spans="1:20" x14ac:dyDescent="0.25">
      <c r="A70" s="28"/>
      <c r="B70" s="42"/>
      <c r="C70" s="43"/>
      <c r="D70" s="43"/>
      <c r="E70" s="43"/>
      <c r="F70" s="43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53"/>
      <c r="T70" s="30"/>
    </row>
    <row r="71" spans="1:20" x14ac:dyDescent="0.25">
      <c r="A71" s="28"/>
      <c r="B71" s="42"/>
      <c r="C71" s="43"/>
      <c r="D71" s="43"/>
      <c r="E71" s="43"/>
      <c r="F71" s="43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53"/>
      <c r="T71" s="30"/>
    </row>
    <row r="72" spans="1:20" x14ac:dyDescent="0.25">
      <c r="A72" s="28"/>
      <c r="B72" s="44"/>
      <c r="C72" s="43"/>
      <c r="D72" s="43"/>
      <c r="E72" s="43"/>
      <c r="F72" s="43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53"/>
      <c r="T72" s="30"/>
    </row>
    <row r="73" spans="1:20" x14ac:dyDescent="0.25">
      <c r="A73" s="28"/>
      <c r="B73" s="30"/>
      <c r="C73" s="43"/>
      <c r="D73" s="43"/>
      <c r="E73" s="43"/>
      <c r="F73" s="43"/>
      <c r="G73" s="30"/>
      <c r="H73" s="30"/>
      <c r="I73" s="30"/>
      <c r="J73" s="30"/>
      <c r="K73" s="30"/>
      <c r="L73" s="30"/>
      <c r="M73" s="30"/>
      <c r="N73" s="30"/>
      <c r="O73" s="47"/>
      <c r="P73" s="47"/>
      <c r="Q73" s="28"/>
      <c r="R73" s="28"/>
      <c r="S73" s="53"/>
      <c r="T73" s="30"/>
    </row>
    <row r="74" spans="1:20" x14ac:dyDescent="0.25">
      <c r="A74" s="28"/>
      <c r="B74" s="30"/>
      <c r="C74" s="43"/>
      <c r="D74" s="43"/>
      <c r="E74" s="43"/>
      <c r="F74" s="43"/>
      <c r="G74" s="30"/>
      <c r="H74" s="30"/>
      <c r="I74" s="30"/>
      <c r="J74" s="30"/>
      <c r="K74" s="30"/>
      <c r="L74" s="30"/>
      <c r="M74" s="30"/>
      <c r="N74" s="30"/>
      <c r="O74" s="47"/>
      <c r="P74" s="47"/>
      <c r="Q74" s="28"/>
      <c r="R74" s="30"/>
      <c r="S74" s="53"/>
      <c r="T74" s="30"/>
    </row>
    <row r="75" spans="1:20" x14ac:dyDescent="0.25">
      <c r="A75" s="30"/>
      <c r="B75" s="30"/>
      <c r="C75" s="43"/>
      <c r="D75" s="43"/>
      <c r="E75" s="43"/>
      <c r="F75" s="43"/>
      <c r="G75" s="30"/>
      <c r="H75" s="30"/>
      <c r="I75" s="30"/>
      <c r="J75" s="30"/>
      <c r="K75" s="30"/>
      <c r="L75" s="30"/>
      <c r="M75" s="30"/>
      <c r="N75" s="30"/>
      <c r="O75" s="47"/>
      <c r="P75" s="47"/>
      <c r="Q75" s="28"/>
      <c r="R75" s="30"/>
      <c r="S75" s="53"/>
      <c r="T75" s="30"/>
    </row>
    <row r="76" spans="1:20" x14ac:dyDescent="0.25">
      <c r="A76" s="30"/>
      <c r="B76" s="30"/>
      <c r="C76" s="43"/>
      <c r="D76" s="43"/>
      <c r="E76" s="43"/>
      <c r="F76" s="43"/>
      <c r="G76" s="30"/>
      <c r="H76" s="30"/>
      <c r="I76" s="30"/>
      <c r="J76" s="30"/>
      <c r="K76" s="30"/>
      <c r="L76" s="30"/>
      <c r="M76" s="30"/>
      <c r="N76" s="30"/>
      <c r="O76" s="47"/>
      <c r="P76" s="47"/>
      <c r="Q76" s="28"/>
      <c r="R76" s="30"/>
      <c r="S76" s="53"/>
      <c r="T76" s="30"/>
    </row>
    <row r="77" spans="1:20" x14ac:dyDescent="0.25">
      <c r="A77" s="28"/>
      <c r="B77" s="50"/>
      <c r="C77" s="43"/>
      <c r="D77" s="43"/>
      <c r="E77" s="43"/>
      <c r="F77" s="43"/>
      <c r="G77" s="30"/>
      <c r="H77" s="30"/>
      <c r="I77" s="30"/>
      <c r="J77" s="30"/>
      <c r="K77" s="30"/>
      <c r="L77" s="30"/>
      <c r="M77" s="30"/>
      <c r="N77" s="30"/>
      <c r="O77" s="47"/>
      <c r="P77" s="47"/>
      <c r="Q77" s="28"/>
      <c r="R77" s="30"/>
      <c r="S77" s="53"/>
      <c r="T77" s="30"/>
    </row>
    <row r="78" spans="1:20" x14ac:dyDescent="0.25">
      <c r="A78" s="28"/>
      <c r="B78" s="30"/>
      <c r="C78" s="43"/>
      <c r="D78" s="43"/>
      <c r="E78" s="43"/>
      <c r="F78" s="43"/>
      <c r="G78" s="30"/>
      <c r="H78" s="30"/>
      <c r="I78" s="30"/>
      <c r="J78" s="30"/>
      <c r="K78" s="30"/>
      <c r="L78" s="30"/>
      <c r="M78" s="30"/>
      <c r="N78" s="30"/>
      <c r="O78" s="47"/>
      <c r="P78" s="47"/>
      <c r="Q78" s="28"/>
      <c r="R78" s="30"/>
      <c r="S78" s="53"/>
      <c r="T78" s="30"/>
    </row>
    <row r="79" spans="1:20" x14ac:dyDescent="0.25">
      <c r="A79" s="28"/>
      <c r="B79" s="30"/>
      <c r="C79" s="43"/>
      <c r="D79" s="43"/>
      <c r="E79" s="43"/>
      <c r="F79" s="43"/>
      <c r="G79" s="30"/>
      <c r="H79" s="30"/>
      <c r="I79" s="30"/>
      <c r="J79" s="30"/>
      <c r="K79" s="30"/>
      <c r="L79" s="30"/>
      <c r="M79" s="30"/>
      <c r="N79" s="30"/>
      <c r="O79" s="47"/>
      <c r="P79" s="47"/>
      <c r="Q79" s="28"/>
      <c r="R79" s="30"/>
      <c r="S79" s="53"/>
      <c r="T79" s="30"/>
    </row>
    <row r="80" spans="1:20" x14ac:dyDescent="0.25">
      <c r="A80" s="28"/>
      <c r="B80" s="50"/>
      <c r="C80" s="43"/>
      <c r="D80" s="43"/>
      <c r="E80" s="43"/>
      <c r="F80" s="43"/>
      <c r="G80" s="30"/>
      <c r="H80" s="30"/>
      <c r="I80" s="30"/>
      <c r="J80" s="30"/>
      <c r="K80" s="30"/>
      <c r="L80" s="30"/>
      <c r="M80" s="30"/>
      <c r="N80" s="30"/>
      <c r="O80" s="47"/>
      <c r="P80" s="47"/>
      <c r="Q80" s="28"/>
      <c r="R80" s="30"/>
      <c r="S80" s="53"/>
      <c r="T80" s="30"/>
    </row>
    <row r="81" spans="1:20" x14ac:dyDescent="0.25">
      <c r="A81" s="28"/>
      <c r="B81" s="30"/>
      <c r="C81" s="43"/>
      <c r="D81" s="43"/>
      <c r="E81" s="43"/>
      <c r="F81" s="43"/>
      <c r="G81" s="30"/>
      <c r="H81" s="30"/>
      <c r="I81" s="30"/>
      <c r="J81" s="30"/>
      <c r="K81" s="30"/>
      <c r="L81" s="30"/>
      <c r="M81" s="30"/>
      <c r="N81" s="30"/>
      <c r="O81" s="47"/>
      <c r="P81" s="47"/>
      <c r="Q81" s="28"/>
      <c r="R81" s="30"/>
      <c r="S81" s="53"/>
      <c r="T81" s="30"/>
    </row>
    <row r="82" spans="1:20" x14ac:dyDescent="0.25">
      <c r="A82" s="28"/>
      <c r="B82" s="50"/>
      <c r="C82" s="43"/>
      <c r="D82" s="43"/>
      <c r="E82" s="43"/>
      <c r="F82" s="43"/>
      <c r="G82" s="30"/>
      <c r="H82" s="30"/>
      <c r="I82" s="30"/>
      <c r="J82" s="30"/>
      <c r="K82" s="30"/>
      <c r="L82" s="30"/>
      <c r="M82" s="30"/>
      <c r="N82" s="30"/>
      <c r="O82" s="47"/>
      <c r="P82" s="47"/>
      <c r="Q82" s="28"/>
      <c r="R82" s="30"/>
      <c r="S82" s="53"/>
      <c r="T82" s="30"/>
    </row>
    <row r="83" spans="1:20" x14ac:dyDescent="0.25">
      <c r="A83" s="28"/>
      <c r="B83" s="30"/>
      <c r="C83" s="43"/>
      <c r="D83" s="43"/>
      <c r="E83" s="43"/>
      <c r="F83" s="43"/>
      <c r="G83" s="30"/>
      <c r="H83" s="30"/>
      <c r="I83" s="30"/>
      <c r="J83" s="30"/>
      <c r="K83" s="30"/>
      <c r="L83" s="30"/>
      <c r="M83" s="30"/>
      <c r="N83" s="30"/>
      <c r="O83" s="47"/>
      <c r="P83" s="47"/>
      <c r="Q83" s="28"/>
      <c r="R83" s="30"/>
      <c r="S83" s="53"/>
      <c r="T83" s="30"/>
    </row>
    <row r="84" spans="1:20" x14ac:dyDescent="0.25">
      <c r="A84" s="28"/>
      <c r="B84" s="30"/>
      <c r="C84" s="43"/>
      <c r="D84" s="43"/>
      <c r="E84" s="43"/>
      <c r="F84" s="43"/>
      <c r="G84" s="30"/>
      <c r="H84" s="30"/>
      <c r="I84" s="30"/>
      <c r="J84" s="30"/>
      <c r="K84" s="30"/>
      <c r="L84" s="30"/>
      <c r="M84" s="30"/>
      <c r="N84" s="30"/>
      <c r="O84" s="47"/>
      <c r="P84" s="47"/>
      <c r="Q84" s="28"/>
      <c r="R84" s="30"/>
      <c r="S84" s="53"/>
      <c r="T84" s="30"/>
    </row>
    <row r="85" spans="1:20" x14ac:dyDescent="0.25">
      <c r="A85" s="28"/>
      <c r="B85" s="30"/>
      <c r="C85" s="43"/>
      <c r="D85" s="43"/>
      <c r="E85" s="43"/>
      <c r="F85" s="43"/>
      <c r="G85" s="30"/>
      <c r="H85" s="30"/>
      <c r="I85" s="30"/>
      <c r="J85" s="30"/>
      <c r="K85" s="30"/>
      <c r="L85" s="30"/>
      <c r="M85" s="30"/>
      <c r="N85" s="30"/>
      <c r="O85" s="47"/>
      <c r="P85" s="47"/>
      <c r="Q85" s="28"/>
      <c r="R85" s="30"/>
      <c r="S85" s="53"/>
      <c r="T85" s="30"/>
    </row>
    <row r="86" spans="1:20" x14ac:dyDescent="0.25">
      <c r="A86" s="28"/>
      <c r="B86" s="42"/>
      <c r="C86" s="43"/>
      <c r="D86" s="43"/>
      <c r="E86" s="43"/>
      <c r="F86" s="43"/>
      <c r="G86" s="30"/>
      <c r="H86" s="30"/>
      <c r="I86" s="30"/>
      <c r="J86" s="30"/>
      <c r="K86" s="30"/>
      <c r="L86" s="30"/>
      <c r="M86" s="30"/>
      <c r="N86" s="30"/>
      <c r="O86" s="47"/>
      <c r="P86" s="47"/>
      <c r="Q86" s="28"/>
      <c r="R86" s="30"/>
      <c r="S86" s="53"/>
      <c r="T86" s="30"/>
    </row>
    <row r="87" spans="1:20" x14ac:dyDescent="0.25">
      <c r="A87" s="28"/>
      <c r="B87" s="30"/>
      <c r="C87" s="43"/>
      <c r="D87" s="43"/>
      <c r="E87" s="43"/>
      <c r="F87" s="43"/>
      <c r="G87" s="30"/>
      <c r="H87" s="30"/>
      <c r="I87" s="30"/>
      <c r="J87" s="30"/>
      <c r="K87" s="30"/>
      <c r="L87" s="30"/>
      <c r="M87" s="30"/>
      <c r="N87" s="30"/>
      <c r="O87" s="47"/>
      <c r="P87" s="47"/>
      <c r="Q87" s="28"/>
      <c r="R87" s="30"/>
      <c r="S87" s="53"/>
      <c r="T87" s="30"/>
    </row>
    <row r="88" spans="1:20" x14ac:dyDescent="0.25">
      <c r="A88" s="28"/>
      <c r="B88" s="30"/>
      <c r="C88" s="43"/>
      <c r="D88" s="43"/>
      <c r="E88" s="43"/>
      <c r="F88" s="43"/>
      <c r="G88" s="30"/>
      <c r="H88" s="30"/>
      <c r="I88" s="30"/>
      <c r="J88" s="30"/>
      <c r="K88" s="38"/>
      <c r="L88" s="30"/>
      <c r="M88" s="30"/>
      <c r="N88" s="30"/>
      <c r="O88" s="47"/>
      <c r="P88" s="47"/>
      <c r="Q88" s="28"/>
      <c r="R88" s="30"/>
      <c r="S88" s="53"/>
      <c r="T88" s="30"/>
    </row>
    <row r="89" spans="1:20" x14ac:dyDescent="0.25">
      <c r="A89" s="28"/>
      <c r="B89" s="30"/>
      <c r="C89" s="43"/>
      <c r="D89" s="43"/>
      <c r="E89" s="43"/>
      <c r="F89" s="43"/>
      <c r="G89" s="30"/>
      <c r="H89" s="30"/>
      <c r="I89" s="30"/>
      <c r="J89" s="30"/>
      <c r="K89" s="30"/>
      <c r="L89" s="30"/>
      <c r="M89" s="30"/>
      <c r="N89" s="30"/>
      <c r="O89" s="47"/>
      <c r="P89" s="47"/>
      <c r="Q89" s="28"/>
      <c r="R89" s="30"/>
      <c r="S89" s="53"/>
      <c r="T89" s="30"/>
    </row>
    <row r="90" spans="1:20" x14ac:dyDescent="0.25">
      <c r="A90" s="28"/>
      <c r="B90" s="30"/>
      <c r="C90" s="43"/>
      <c r="D90" s="43"/>
      <c r="E90" s="43"/>
      <c r="F90" s="43"/>
      <c r="G90" s="30"/>
      <c r="H90" s="30"/>
      <c r="I90" s="30"/>
      <c r="J90" s="30"/>
      <c r="K90" s="30"/>
      <c r="L90" s="30"/>
      <c r="M90" s="30"/>
      <c r="N90" s="30"/>
      <c r="O90" s="47"/>
      <c r="P90" s="47"/>
      <c r="Q90" s="28"/>
      <c r="R90" s="30"/>
      <c r="S90" s="53"/>
      <c r="T90" s="30"/>
    </row>
    <row r="91" spans="1:20" x14ac:dyDescent="0.25">
      <c r="A91" s="28"/>
      <c r="B91" s="30"/>
      <c r="C91" s="43"/>
      <c r="D91" s="43"/>
      <c r="E91" s="43"/>
      <c r="F91" s="43"/>
      <c r="G91" s="30"/>
      <c r="H91" s="30"/>
      <c r="I91" s="30"/>
      <c r="J91" s="30"/>
      <c r="K91" s="30"/>
      <c r="L91" s="30"/>
      <c r="M91" s="30"/>
      <c r="N91" s="30"/>
      <c r="O91" s="47"/>
      <c r="P91" s="47"/>
      <c r="Q91" s="28"/>
      <c r="R91" s="30"/>
      <c r="S91" s="53"/>
      <c r="T91" s="30"/>
    </row>
    <row r="92" spans="1:20" x14ac:dyDescent="0.25">
      <c r="A92" s="28"/>
      <c r="B92" s="30"/>
      <c r="C92" s="43"/>
      <c r="D92" s="43"/>
      <c r="E92" s="43"/>
      <c r="F92" s="43"/>
      <c r="G92" s="30"/>
      <c r="H92" s="30"/>
      <c r="I92" s="30"/>
      <c r="J92" s="30"/>
      <c r="K92" s="30"/>
      <c r="L92" s="30"/>
      <c r="M92" s="30"/>
      <c r="N92" s="30"/>
      <c r="O92" s="47"/>
      <c r="P92" s="47"/>
      <c r="Q92" s="28"/>
      <c r="R92" s="30"/>
      <c r="S92" s="53"/>
      <c r="T92" s="30"/>
    </row>
    <row r="93" spans="1:20" x14ac:dyDescent="0.25">
      <c r="A93" s="28"/>
      <c r="B93" s="30"/>
      <c r="C93" s="43"/>
      <c r="D93" s="43"/>
      <c r="E93" s="43"/>
      <c r="F93" s="43"/>
      <c r="G93" s="30"/>
      <c r="H93" s="30"/>
      <c r="I93" s="30"/>
      <c r="J93" s="30"/>
      <c r="K93" s="30"/>
      <c r="L93" s="30"/>
      <c r="M93" s="30"/>
      <c r="N93" s="30"/>
      <c r="O93" s="47"/>
      <c r="P93" s="47"/>
      <c r="Q93" s="28"/>
      <c r="R93" s="30"/>
      <c r="S93" s="53"/>
      <c r="T93" s="30"/>
    </row>
    <row r="94" spans="1:20" x14ac:dyDescent="0.25">
      <c r="A94" s="28"/>
      <c r="B94" s="30"/>
      <c r="C94" s="43"/>
      <c r="D94" s="43"/>
      <c r="E94" s="43"/>
      <c r="F94" s="43"/>
      <c r="G94" s="30"/>
      <c r="H94" s="30"/>
      <c r="I94" s="30"/>
      <c r="J94" s="30"/>
      <c r="K94" s="30"/>
      <c r="L94" s="30"/>
      <c r="M94" s="30"/>
      <c r="N94" s="30"/>
      <c r="O94" s="47"/>
      <c r="P94" s="47"/>
      <c r="Q94" s="28"/>
      <c r="R94" s="30"/>
      <c r="S94" s="53"/>
      <c r="T94" s="30"/>
    </row>
    <row r="95" spans="1:20" x14ac:dyDescent="0.25">
      <c r="A95" s="28"/>
      <c r="B95" s="30"/>
      <c r="C95" s="43"/>
      <c r="D95" s="43"/>
      <c r="E95" s="43"/>
      <c r="F95" s="43"/>
      <c r="G95" s="30"/>
      <c r="H95" s="30"/>
      <c r="I95" s="30"/>
      <c r="J95" s="30"/>
      <c r="K95" s="30"/>
      <c r="L95" s="30"/>
      <c r="M95" s="30"/>
      <c r="N95" s="30"/>
      <c r="O95" s="47"/>
      <c r="P95" s="47"/>
      <c r="Q95" s="28"/>
      <c r="R95" s="30"/>
      <c r="S95" s="30"/>
      <c r="T95" s="30"/>
    </row>
    <row r="96" spans="1:20" x14ac:dyDescent="0.25">
      <c r="A96" s="28"/>
      <c r="B96" s="30"/>
      <c r="C96" s="43"/>
      <c r="D96" s="43"/>
      <c r="E96" s="43"/>
      <c r="F96" s="43"/>
      <c r="G96" s="30"/>
      <c r="H96" s="30"/>
      <c r="I96" s="30"/>
      <c r="J96" s="30"/>
      <c r="K96" s="30"/>
      <c r="L96" s="30"/>
      <c r="M96" s="30"/>
      <c r="N96" s="30"/>
      <c r="O96" s="47"/>
      <c r="P96" s="47"/>
      <c r="Q96" s="28"/>
      <c r="R96" s="30"/>
      <c r="S96" s="30"/>
      <c r="T96" s="30"/>
    </row>
    <row r="97" spans="1:20" x14ac:dyDescent="0.25">
      <c r="A97" s="28"/>
      <c r="B97" s="30"/>
      <c r="C97" s="43"/>
      <c r="D97" s="43"/>
      <c r="E97" s="43"/>
      <c r="F97" s="43"/>
      <c r="G97" s="30"/>
      <c r="H97" s="30"/>
      <c r="I97" s="30"/>
      <c r="J97" s="30"/>
      <c r="K97" s="30"/>
      <c r="L97" s="30"/>
      <c r="M97" s="30"/>
      <c r="N97" s="30"/>
      <c r="O97" s="47"/>
      <c r="P97" s="47"/>
      <c r="Q97" s="28"/>
      <c r="R97" s="30"/>
      <c r="S97" s="30"/>
      <c r="T97" s="30"/>
    </row>
    <row r="98" spans="1:20" x14ac:dyDescent="0.25">
      <c r="A98" s="28"/>
      <c r="B98" s="30"/>
      <c r="C98" s="43"/>
      <c r="D98" s="43"/>
      <c r="E98" s="43"/>
      <c r="F98" s="43"/>
      <c r="G98" s="30"/>
      <c r="H98" s="30"/>
      <c r="I98" s="30"/>
      <c r="J98" s="30"/>
      <c r="K98" s="30"/>
      <c r="L98" s="30"/>
      <c r="M98" s="30"/>
      <c r="N98" s="30"/>
      <c r="O98" s="47"/>
      <c r="P98" s="47"/>
      <c r="Q98" s="28"/>
      <c r="R98" s="30"/>
      <c r="S98" s="30"/>
      <c r="T98" s="30"/>
    </row>
    <row r="99" spans="1:20" x14ac:dyDescent="0.25">
      <c r="A99" s="28"/>
      <c r="B99" s="30"/>
      <c r="C99" s="43"/>
      <c r="D99" s="43"/>
      <c r="E99" s="43"/>
      <c r="F99" s="43"/>
      <c r="G99" s="30"/>
      <c r="H99" s="30"/>
      <c r="I99" s="30"/>
      <c r="J99" s="30"/>
      <c r="K99" s="30"/>
      <c r="L99" s="30"/>
      <c r="M99" s="30"/>
      <c r="N99" s="30"/>
      <c r="O99" s="47"/>
      <c r="P99" s="47"/>
      <c r="Q99" s="28"/>
      <c r="R99" s="30"/>
      <c r="S99" s="30"/>
      <c r="T99" s="30"/>
    </row>
    <row r="100" spans="1:20" x14ac:dyDescent="0.25">
      <c r="A100" s="28"/>
      <c r="B100" s="30"/>
      <c r="C100" s="43"/>
      <c r="D100" s="43"/>
      <c r="E100" s="43"/>
      <c r="F100" s="43"/>
      <c r="G100" s="30"/>
      <c r="H100" s="30"/>
      <c r="I100" s="30"/>
      <c r="J100" s="30"/>
      <c r="K100" s="30"/>
      <c r="L100" s="30"/>
      <c r="M100" s="30"/>
      <c r="N100" s="30"/>
      <c r="O100" s="47"/>
      <c r="P100" s="47"/>
      <c r="Q100" s="28"/>
      <c r="R100" s="30"/>
      <c r="S100" s="30"/>
      <c r="T100" s="30"/>
    </row>
    <row r="101" spans="1:20" x14ac:dyDescent="0.25">
      <c r="A101" s="28"/>
      <c r="B101" s="30"/>
      <c r="C101" s="43"/>
      <c r="D101" s="43"/>
      <c r="E101" s="43"/>
      <c r="F101" s="43"/>
      <c r="G101" s="30"/>
      <c r="H101" s="30"/>
      <c r="I101" s="30"/>
      <c r="J101" s="30"/>
      <c r="K101" s="30"/>
      <c r="L101" s="30"/>
      <c r="M101" s="30"/>
      <c r="N101" s="30"/>
      <c r="O101" s="47"/>
      <c r="P101" s="47"/>
      <c r="Q101" s="28"/>
      <c r="R101" s="30"/>
      <c r="S101" s="30"/>
      <c r="T101" s="30"/>
    </row>
    <row r="102" spans="1:20" x14ac:dyDescent="0.25">
      <c r="A102" s="28"/>
      <c r="B102" s="30"/>
      <c r="C102" s="43"/>
      <c r="D102" s="43"/>
      <c r="E102" s="43"/>
      <c r="F102" s="43"/>
      <c r="G102" s="30"/>
      <c r="H102" s="30"/>
      <c r="I102" s="30"/>
      <c r="J102" s="30"/>
      <c r="K102" s="30"/>
      <c r="L102" s="30"/>
      <c r="M102" s="30"/>
      <c r="N102" s="30"/>
      <c r="O102" s="47"/>
      <c r="P102" s="47"/>
      <c r="Q102" s="28"/>
      <c r="R102" s="30"/>
      <c r="S102" s="30"/>
      <c r="T102" s="30"/>
    </row>
    <row r="103" spans="1:20" x14ac:dyDescent="0.25">
      <c r="A103" s="28"/>
      <c r="B103" s="30"/>
      <c r="C103" s="43"/>
      <c r="D103" s="43"/>
      <c r="E103" s="43"/>
      <c r="F103" s="43"/>
      <c r="G103" s="30"/>
      <c r="H103" s="30"/>
      <c r="I103" s="30"/>
      <c r="J103" s="30"/>
      <c r="K103" s="30"/>
      <c r="L103" s="30"/>
      <c r="M103" s="30"/>
      <c r="N103" s="30"/>
      <c r="O103" s="47"/>
      <c r="P103" s="47"/>
      <c r="Q103" s="28"/>
      <c r="R103" s="30"/>
      <c r="S103" s="30"/>
      <c r="T103" s="30"/>
    </row>
    <row r="104" spans="1:20" x14ac:dyDescent="0.25">
      <c r="A104" s="28"/>
      <c r="B104" s="30"/>
      <c r="C104" s="43"/>
      <c r="D104" s="43"/>
      <c r="E104" s="43"/>
      <c r="F104" s="43"/>
      <c r="G104" s="30"/>
      <c r="H104" s="30"/>
      <c r="I104" s="30"/>
      <c r="J104" s="30"/>
      <c r="K104" s="30"/>
      <c r="L104" s="30"/>
      <c r="M104" s="30"/>
      <c r="N104" s="30"/>
      <c r="O104" s="47"/>
      <c r="P104" s="47"/>
      <c r="Q104" s="28"/>
      <c r="R104" s="30"/>
      <c r="S104" s="30"/>
      <c r="T104" s="30"/>
    </row>
    <row r="105" spans="1:20" x14ac:dyDescent="0.25">
      <c r="A105" s="28"/>
      <c r="B105" s="30"/>
      <c r="C105" s="43"/>
      <c r="D105" s="43"/>
      <c r="E105" s="43"/>
      <c r="F105" s="43"/>
      <c r="G105" s="30"/>
      <c r="H105" s="30"/>
      <c r="I105" s="30"/>
      <c r="J105" s="30"/>
      <c r="K105" s="30"/>
      <c r="L105" s="30"/>
      <c r="M105" s="30"/>
      <c r="N105" s="30"/>
      <c r="O105" s="47"/>
      <c r="P105" s="47"/>
      <c r="Q105" s="28"/>
      <c r="R105" s="30"/>
      <c r="S105" s="30"/>
      <c r="T105" s="30"/>
    </row>
    <row r="106" spans="1:20" x14ac:dyDescent="0.25">
      <c r="A106" s="28"/>
      <c r="B106" s="30"/>
      <c r="C106" s="43"/>
      <c r="D106" s="43"/>
      <c r="E106" s="43"/>
      <c r="F106" s="43"/>
      <c r="G106" s="30"/>
      <c r="H106" s="30"/>
      <c r="I106" s="30"/>
      <c r="J106" s="30"/>
      <c r="K106" s="30"/>
      <c r="L106" s="30"/>
      <c r="M106" s="30"/>
      <c r="N106" s="30"/>
      <c r="O106" s="47"/>
      <c r="P106" s="47"/>
      <c r="Q106" s="28"/>
      <c r="R106" s="30"/>
      <c r="S106" s="30"/>
      <c r="T106" s="30"/>
    </row>
    <row r="107" spans="1:20" x14ac:dyDescent="0.25">
      <c r="A107" s="28"/>
      <c r="B107" s="30"/>
      <c r="C107" s="43"/>
      <c r="D107" s="43"/>
      <c r="E107" s="43"/>
      <c r="F107" s="43"/>
      <c r="G107" s="30"/>
      <c r="H107" s="30"/>
      <c r="I107" s="30"/>
      <c r="J107" s="30"/>
      <c r="K107" s="30"/>
      <c r="L107" s="30"/>
      <c r="M107" s="30"/>
      <c r="N107" s="30"/>
      <c r="O107" s="47"/>
      <c r="P107" s="47"/>
      <c r="Q107" s="28"/>
      <c r="R107" s="30"/>
      <c r="S107" s="30"/>
      <c r="T107" s="30"/>
    </row>
    <row r="108" spans="1:20" x14ac:dyDescent="0.25">
      <c r="A108" s="28"/>
      <c r="B108" s="30"/>
      <c r="C108" s="43"/>
      <c r="D108" s="43"/>
      <c r="E108" s="43"/>
      <c r="F108" s="43"/>
      <c r="G108" s="30"/>
      <c r="H108" s="30"/>
      <c r="I108" s="30"/>
      <c r="J108" s="30"/>
      <c r="K108" s="30"/>
      <c r="L108" s="30"/>
      <c r="M108" s="30"/>
      <c r="N108" s="30"/>
      <c r="O108" s="47"/>
      <c r="P108" s="47"/>
      <c r="Q108" s="28"/>
      <c r="R108" s="30"/>
      <c r="S108" s="30"/>
      <c r="T108" s="30"/>
    </row>
    <row r="109" spans="1:20" x14ac:dyDescent="0.25">
      <c r="A109" s="28"/>
      <c r="B109" s="30"/>
      <c r="C109" s="43"/>
      <c r="D109" s="43"/>
      <c r="E109" s="43"/>
      <c r="F109" s="43"/>
      <c r="G109" s="30"/>
      <c r="H109" s="30"/>
      <c r="I109" s="30"/>
      <c r="J109" s="30"/>
      <c r="K109" s="30"/>
      <c r="L109" s="30"/>
      <c r="M109" s="30"/>
      <c r="N109" s="30"/>
      <c r="O109" s="47"/>
      <c r="P109" s="47"/>
      <c r="Q109" s="28"/>
      <c r="R109" s="30"/>
      <c r="S109" s="30"/>
      <c r="T109" s="30"/>
    </row>
    <row r="110" spans="1:20" x14ac:dyDescent="0.25">
      <c r="A110" s="28"/>
      <c r="B110" s="30"/>
      <c r="C110" s="43"/>
      <c r="D110" s="43"/>
      <c r="E110" s="43"/>
      <c r="F110" s="43"/>
      <c r="G110" s="30"/>
      <c r="H110" s="30"/>
      <c r="I110" s="30"/>
      <c r="J110" s="30"/>
      <c r="K110" s="30"/>
      <c r="L110" s="30"/>
      <c r="M110" s="30"/>
      <c r="N110" s="30"/>
      <c r="O110" s="47"/>
      <c r="P110" s="47"/>
      <c r="Q110" s="28"/>
      <c r="R110" s="30"/>
      <c r="S110" s="30"/>
      <c r="T110" s="30"/>
    </row>
    <row r="111" spans="1:20" x14ac:dyDescent="0.25">
      <c r="A111" s="28"/>
      <c r="B111" s="30"/>
      <c r="C111" s="43"/>
      <c r="D111" s="43"/>
      <c r="E111" s="43"/>
      <c r="F111" s="43"/>
      <c r="G111" s="30"/>
      <c r="H111" s="30"/>
      <c r="I111" s="30"/>
      <c r="J111" s="30"/>
      <c r="K111" s="30"/>
      <c r="L111" s="30"/>
      <c r="M111" s="30"/>
      <c r="N111" s="30"/>
      <c r="O111" s="47"/>
      <c r="P111" s="47"/>
      <c r="Q111" s="28"/>
      <c r="R111" s="30"/>
      <c r="S111" s="30"/>
      <c r="T111" s="30"/>
    </row>
    <row r="112" spans="1:20" x14ac:dyDescent="0.25">
      <c r="A112" s="28"/>
      <c r="B112" s="30"/>
      <c r="C112" s="43"/>
      <c r="D112" s="43"/>
      <c r="E112" s="43"/>
      <c r="F112" s="43"/>
      <c r="G112" s="30"/>
      <c r="H112" s="30"/>
      <c r="I112" s="30"/>
      <c r="J112" s="30"/>
      <c r="K112" s="30"/>
      <c r="L112" s="30"/>
      <c r="M112" s="30"/>
      <c r="N112" s="30"/>
      <c r="O112" s="47"/>
      <c r="P112" s="47"/>
      <c r="Q112" s="28"/>
      <c r="R112" s="30"/>
      <c r="S112" s="30"/>
      <c r="T112" s="30"/>
    </row>
    <row r="113" spans="1:20" x14ac:dyDescent="0.25">
      <c r="A113" s="28"/>
      <c r="B113" s="30"/>
      <c r="C113" s="43"/>
      <c r="D113" s="43"/>
      <c r="E113" s="43"/>
      <c r="F113" s="43"/>
      <c r="G113" s="30"/>
      <c r="H113" s="30"/>
      <c r="I113" s="30"/>
      <c r="J113" s="30"/>
      <c r="K113" s="30"/>
      <c r="L113" s="30"/>
      <c r="M113" s="30"/>
      <c r="N113" s="30"/>
      <c r="O113" s="47"/>
      <c r="P113" s="47"/>
      <c r="Q113" s="28"/>
      <c r="R113" s="30"/>
      <c r="S113" s="30"/>
      <c r="T113" s="30"/>
    </row>
    <row r="114" spans="1:20" x14ac:dyDescent="0.25">
      <c r="A114" s="28"/>
      <c r="B114" s="30"/>
      <c r="C114" s="43"/>
      <c r="D114" s="43"/>
      <c r="E114" s="43"/>
      <c r="F114" s="43"/>
      <c r="G114" s="30"/>
      <c r="H114" s="30"/>
      <c r="I114" s="30"/>
      <c r="J114" s="30"/>
      <c r="K114" s="30"/>
      <c r="L114" s="30"/>
      <c r="M114" s="30"/>
      <c r="N114" s="30"/>
      <c r="O114" s="47"/>
      <c r="P114" s="47"/>
      <c r="Q114" s="28"/>
      <c r="R114" s="30"/>
      <c r="S114" s="30"/>
      <c r="T114" s="30"/>
    </row>
    <row r="115" spans="1:20" x14ac:dyDescent="0.25">
      <c r="A115" s="28"/>
      <c r="B115" s="44"/>
      <c r="C115" s="43"/>
      <c r="D115" s="43"/>
      <c r="E115" s="43"/>
      <c r="F115" s="43"/>
      <c r="G115" s="30"/>
      <c r="H115" s="30"/>
      <c r="I115" s="30"/>
      <c r="J115" s="30"/>
      <c r="K115" s="30"/>
      <c r="L115" s="30"/>
      <c r="M115" s="30"/>
      <c r="N115" s="30"/>
      <c r="O115" s="47"/>
      <c r="P115" s="47"/>
      <c r="Q115" s="28"/>
      <c r="R115" s="30"/>
      <c r="S115" s="53"/>
      <c r="T115" s="30"/>
    </row>
    <row r="116" spans="1:20" x14ac:dyDescent="0.25">
      <c r="A116" s="28"/>
      <c r="B116" s="44"/>
      <c r="C116" s="43"/>
      <c r="D116" s="43"/>
      <c r="E116" s="43"/>
      <c r="F116" s="43"/>
      <c r="G116" s="30"/>
      <c r="H116" s="30"/>
      <c r="I116" s="30"/>
      <c r="J116" s="30"/>
      <c r="K116" s="30"/>
      <c r="L116" s="30"/>
      <c r="M116" s="30"/>
      <c r="N116" s="30"/>
      <c r="O116" s="47"/>
      <c r="P116" s="47"/>
      <c r="Q116" s="28"/>
      <c r="R116" s="30"/>
      <c r="S116" s="53"/>
      <c r="T116" s="30"/>
    </row>
    <row r="117" spans="1:20" x14ac:dyDescent="0.25">
      <c r="A117" s="28"/>
      <c r="B117" s="44"/>
      <c r="C117" s="43"/>
      <c r="D117" s="43"/>
      <c r="E117" s="43"/>
      <c r="F117" s="43"/>
      <c r="G117" s="30"/>
      <c r="H117" s="30"/>
      <c r="I117" s="30"/>
      <c r="J117" s="30"/>
      <c r="K117" s="30"/>
      <c r="L117" s="30"/>
      <c r="M117" s="30"/>
      <c r="N117" s="30"/>
      <c r="O117" s="47"/>
      <c r="P117" s="47"/>
      <c r="Q117" s="28"/>
      <c r="R117" s="30"/>
      <c r="S117" s="53"/>
      <c r="T117" s="30"/>
    </row>
    <row r="118" spans="1:20" x14ac:dyDescent="0.25">
      <c r="A118" s="28"/>
      <c r="B118" s="44"/>
      <c r="C118" s="43"/>
      <c r="D118" s="43"/>
      <c r="E118" s="43"/>
      <c r="F118" s="43"/>
      <c r="G118" s="30"/>
      <c r="H118" s="30"/>
      <c r="I118" s="30"/>
      <c r="J118" s="30"/>
      <c r="K118" s="30"/>
      <c r="L118" s="30"/>
      <c r="M118" s="30"/>
      <c r="N118" s="30"/>
      <c r="O118" s="47"/>
      <c r="P118" s="47"/>
      <c r="Q118" s="28"/>
      <c r="R118" s="30"/>
      <c r="S118" s="53"/>
      <c r="T118" s="30"/>
    </row>
    <row r="119" spans="1:20" x14ac:dyDescent="0.25">
      <c r="A119" s="28"/>
      <c r="B119" s="44"/>
      <c r="C119" s="43"/>
      <c r="D119" s="43"/>
      <c r="E119" s="43"/>
      <c r="F119" s="43"/>
      <c r="G119" s="30"/>
      <c r="H119" s="30"/>
      <c r="I119" s="30"/>
      <c r="J119" s="30"/>
      <c r="K119" s="30"/>
      <c r="L119" s="30"/>
      <c r="M119" s="30"/>
      <c r="N119" s="30"/>
      <c r="O119" s="47"/>
      <c r="P119" s="47"/>
      <c r="Q119" s="28"/>
      <c r="R119" s="30"/>
      <c r="S119" s="53"/>
      <c r="T119" s="30"/>
    </row>
    <row r="120" spans="1:20" x14ac:dyDescent="0.25">
      <c r="A120" s="28"/>
      <c r="B120" s="30"/>
      <c r="C120" s="43"/>
      <c r="D120" s="43"/>
      <c r="E120" s="43"/>
      <c r="F120" s="43"/>
      <c r="G120" s="30"/>
      <c r="H120" s="30"/>
      <c r="I120" s="30"/>
      <c r="J120" s="30"/>
      <c r="K120" s="30"/>
      <c r="L120" s="30"/>
      <c r="M120" s="30"/>
      <c r="N120" s="30"/>
      <c r="O120" s="47"/>
      <c r="P120" s="47"/>
      <c r="Q120" s="28"/>
      <c r="R120" s="30"/>
      <c r="S120" s="30"/>
      <c r="T120" s="30"/>
    </row>
  </sheetData>
  <autoFilter ref="A2:AL96" xr:uid="{6E67019F-1878-4A0A-B050-CA82A800ADFD}"/>
  <phoneticPr fontId="6" type="noConversion"/>
  <conditionalFormatting sqref="B69">
    <cfRule type="duplicateValues" dxfId="2" priority="3"/>
  </conditionalFormatting>
  <conditionalFormatting sqref="B71:B72">
    <cfRule type="duplicateValues" dxfId="1" priority="2"/>
  </conditionalFormatting>
  <conditionalFormatting sqref="B115:B119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B57F-6DE4-420D-8391-769912CF4D95}">
  <dimension ref="A2:Q12"/>
  <sheetViews>
    <sheetView topLeftCell="B1" workbookViewId="0">
      <selection activeCell="O6" sqref="O6"/>
    </sheetView>
  </sheetViews>
  <sheetFormatPr defaultRowHeight="15" x14ac:dyDescent="0.25"/>
  <cols>
    <col min="1" max="1" width="5.7109375" bestFit="1" customWidth="1"/>
    <col min="2" max="2" width="35.140625" bestFit="1" customWidth="1"/>
    <col min="3" max="3" width="15" bestFit="1" customWidth="1"/>
    <col min="4" max="4" width="11.28515625" bestFit="1" customWidth="1"/>
    <col min="5" max="5" width="4.5703125" bestFit="1" customWidth="1"/>
    <col min="6" max="6" width="7.28515625" bestFit="1" customWidth="1"/>
    <col min="7" max="7" width="19.28515625" bestFit="1" customWidth="1"/>
    <col min="8" max="8" width="7.140625" bestFit="1" customWidth="1"/>
    <col min="9" max="9" width="11.7109375" bestFit="1" customWidth="1"/>
    <col min="10" max="10" width="9.140625" bestFit="1" customWidth="1"/>
    <col min="11" max="11" width="18.85546875" bestFit="1" customWidth="1"/>
    <col min="12" max="12" width="11.7109375" bestFit="1" customWidth="1"/>
    <col min="13" max="14" width="11.7109375" customWidth="1"/>
    <col min="15" max="15" width="11.5703125" bestFit="1" customWidth="1"/>
    <col min="17" max="17" width="37" bestFit="1" customWidth="1"/>
  </cols>
  <sheetData>
    <row r="2" spans="1:17" x14ac:dyDescent="0.25">
      <c r="A2" s="67" t="s">
        <v>1</v>
      </c>
      <c r="B2" s="22" t="s">
        <v>2</v>
      </c>
      <c r="C2" s="22" t="s">
        <v>172</v>
      </c>
      <c r="D2" s="22" t="s">
        <v>197</v>
      </c>
      <c r="E2" s="22" t="s">
        <v>276</v>
      </c>
      <c r="F2" s="22" t="s">
        <v>279</v>
      </c>
      <c r="G2" s="22" t="s">
        <v>280</v>
      </c>
      <c r="H2" s="22" t="s">
        <v>281</v>
      </c>
      <c r="I2" s="22" t="s">
        <v>275</v>
      </c>
      <c r="J2" s="22" t="s">
        <v>278</v>
      </c>
      <c r="K2" s="22" t="s">
        <v>285</v>
      </c>
      <c r="L2" s="22" t="s">
        <v>275</v>
      </c>
      <c r="M2" s="22" t="s">
        <v>299</v>
      </c>
      <c r="N2" s="22" t="s">
        <v>300</v>
      </c>
      <c r="O2" s="22" t="s">
        <v>277</v>
      </c>
    </row>
    <row r="3" spans="1:17" x14ac:dyDescent="0.25">
      <c r="A3" s="30">
        <v>1</v>
      </c>
      <c r="B3" s="58" t="s">
        <v>216</v>
      </c>
      <c r="C3" s="36" t="s">
        <v>187</v>
      </c>
      <c r="D3" s="36" t="s">
        <v>222</v>
      </c>
      <c r="E3" s="36">
        <v>16</v>
      </c>
      <c r="F3" s="36"/>
      <c r="G3" s="36"/>
      <c r="H3" s="36"/>
      <c r="I3" s="36"/>
      <c r="J3" s="36"/>
      <c r="K3" s="36"/>
      <c r="L3" s="36"/>
      <c r="M3" s="36"/>
      <c r="N3" s="36"/>
      <c r="O3" s="69">
        <v>230400</v>
      </c>
    </row>
    <row r="4" spans="1:17" x14ac:dyDescent="0.25">
      <c r="A4" s="30">
        <v>2</v>
      </c>
      <c r="B4" s="58" t="s">
        <v>216</v>
      </c>
      <c r="C4" s="36" t="s">
        <v>187</v>
      </c>
      <c r="D4" s="36" t="s">
        <v>222</v>
      </c>
      <c r="E4" s="30"/>
      <c r="F4" s="30"/>
      <c r="G4" s="30"/>
      <c r="H4" s="30"/>
      <c r="I4" s="30">
        <v>1</v>
      </c>
      <c r="J4" s="30"/>
      <c r="K4" s="30"/>
      <c r="L4" s="30">
        <v>1</v>
      </c>
      <c r="M4" s="30"/>
      <c r="N4" s="30"/>
      <c r="O4" s="69">
        <v>72950</v>
      </c>
    </row>
    <row r="5" spans="1:17" x14ac:dyDescent="0.25">
      <c r="A5" s="30">
        <v>3</v>
      </c>
      <c r="B5" s="58" t="s">
        <v>286</v>
      </c>
      <c r="C5" s="36" t="s">
        <v>287</v>
      </c>
      <c r="D5" s="36" t="s">
        <v>288</v>
      </c>
      <c r="E5" s="30">
        <v>10</v>
      </c>
      <c r="F5" s="30"/>
      <c r="G5" s="30"/>
      <c r="H5" s="30"/>
      <c r="I5" s="30">
        <v>1</v>
      </c>
      <c r="J5" s="30"/>
      <c r="K5" s="30"/>
      <c r="L5" s="30"/>
      <c r="M5" s="30"/>
      <c r="N5" s="30"/>
      <c r="O5" s="69">
        <f>72450+138535</f>
        <v>210985</v>
      </c>
    </row>
    <row r="6" spans="1:17" x14ac:dyDescent="0.25">
      <c r="A6" s="30">
        <v>4</v>
      </c>
      <c r="B6" s="58" t="s">
        <v>292</v>
      </c>
      <c r="C6" s="36" t="s">
        <v>287</v>
      </c>
      <c r="D6" s="36" t="s">
        <v>288</v>
      </c>
      <c r="E6" s="30">
        <v>1</v>
      </c>
      <c r="F6" s="30"/>
      <c r="G6" s="30"/>
      <c r="H6" s="30"/>
      <c r="I6" s="30"/>
      <c r="J6" s="30"/>
      <c r="K6" s="30"/>
      <c r="L6" s="30"/>
      <c r="M6" s="30">
        <v>165000</v>
      </c>
      <c r="N6" s="30">
        <v>40000</v>
      </c>
      <c r="O6" s="69">
        <f>13854+M6+N6</f>
        <v>218854</v>
      </c>
    </row>
    <row r="7" spans="1:17" x14ac:dyDescent="0.25">
      <c r="A7" s="30">
        <v>4</v>
      </c>
      <c r="B7" s="70" t="s">
        <v>282</v>
      </c>
      <c r="C7" s="36" t="s">
        <v>187</v>
      </c>
      <c r="D7" s="36" t="s">
        <v>222</v>
      </c>
      <c r="E7" s="30"/>
      <c r="F7" s="30"/>
      <c r="G7" s="30"/>
      <c r="H7" s="30"/>
      <c r="I7" s="30"/>
      <c r="J7" s="30">
        <v>1</v>
      </c>
      <c r="K7" s="30"/>
      <c r="L7" s="30"/>
      <c r="M7" s="30"/>
      <c r="N7" s="30"/>
      <c r="O7" s="68">
        <v>12990</v>
      </c>
    </row>
    <row r="8" spans="1:17" x14ac:dyDescent="0.25">
      <c r="A8" s="30">
        <v>5</v>
      </c>
      <c r="B8" s="70" t="s">
        <v>283</v>
      </c>
      <c r="C8" s="36" t="s">
        <v>187</v>
      </c>
      <c r="D8" s="36" t="s">
        <v>222</v>
      </c>
      <c r="E8" s="30"/>
      <c r="F8" s="30"/>
      <c r="G8" s="30"/>
      <c r="H8" s="30"/>
      <c r="I8" s="30"/>
      <c r="J8" s="30">
        <v>1</v>
      </c>
      <c r="K8" s="30">
        <v>5</v>
      </c>
      <c r="L8" s="30"/>
      <c r="M8" s="30"/>
      <c r="N8" s="30"/>
      <c r="O8" s="68">
        <f>12990+2995</f>
        <v>15985</v>
      </c>
    </row>
    <row r="9" spans="1:17" x14ac:dyDescent="0.25">
      <c r="A9" s="30">
        <v>6</v>
      </c>
      <c r="B9" s="70" t="s">
        <v>284</v>
      </c>
      <c r="C9" s="36" t="s">
        <v>187</v>
      </c>
      <c r="D9" s="36" t="s">
        <v>222</v>
      </c>
      <c r="E9" s="30"/>
      <c r="F9" s="30"/>
      <c r="G9" s="30"/>
      <c r="H9" s="30">
        <v>1</v>
      </c>
      <c r="I9" s="30"/>
      <c r="J9" s="30"/>
      <c r="K9" s="30"/>
      <c r="L9" s="30"/>
      <c r="M9" s="30"/>
      <c r="N9" s="30"/>
      <c r="O9" s="68">
        <v>14999</v>
      </c>
    </row>
    <row r="10" spans="1:17" x14ac:dyDescent="0.25">
      <c r="A10" s="30">
        <v>7</v>
      </c>
      <c r="B10" s="70" t="s">
        <v>290</v>
      </c>
      <c r="C10" s="36" t="s">
        <v>187</v>
      </c>
      <c r="D10" s="36" t="s">
        <v>222</v>
      </c>
      <c r="E10" s="30"/>
      <c r="F10" s="30">
        <v>4</v>
      </c>
      <c r="G10" s="30"/>
      <c r="H10" s="30"/>
      <c r="I10" s="30"/>
      <c r="J10" s="30"/>
      <c r="K10" s="30"/>
      <c r="L10" s="30"/>
      <c r="M10" s="30"/>
      <c r="N10" s="30"/>
      <c r="O10" s="30"/>
      <c r="Q10" t="s">
        <v>289</v>
      </c>
    </row>
    <row r="11" spans="1:17" x14ac:dyDescent="0.25">
      <c r="A11" s="30">
        <v>8</v>
      </c>
      <c r="B11" s="70" t="s">
        <v>291</v>
      </c>
      <c r="C11" s="36" t="s">
        <v>187</v>
      </c>
      <c r="D11" s="36" t="s">
        <v>222</v>
      </c>
      <c r="E11" s="30"/>
      <c r="F11" s="30">
        <v>1</v>
      </c>
      <c r="G11" s="30"/>
      <c r="H11" s="30"/>
      <c r="I11" s="30"/>
      <c r="J11" s="30"/>
      <c r="K11" s="30"/>
      <c r="L11" s="30"/>
      <c r="M11" s="30"/>
      <c r="N11" s="30"/>
      <c r="O11" s="30"/>
    </row>
    <row r="12" spans="1:17" x14ac:dyDescent="0.25">
      <c r="A12" s="30">
        <v>9</v>
      </c>
      <c r="B12" s="70" t="s">
        <v>170</v>
      </c>
      <c r="C12" s="36" t="s">
        <v>187</v>
      </c>
      <c r="D12" s="36" t="s">
        <v>222</v>
      </c>
      <c r="E12" s="30"/>
      <c r="F12" s="30"/>
      <c r="G12" s="30">
        <v>6</v>
      </c>
      <c r="H12" s="30"/>
      <c r="I12" s="30"/>
      <c r="J12" s="30"/>
      <c r="K12" s="30"/>
      <c r="L12" s="30"/>
      <c r="M12" s="30"/>
      <c r="N12" s="30"/>
      <c r="O12" s="30">
        <v>5094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Pratik</vt:lpstr>
      <vt:lpstr>TW</vt:lpstr>
      <vt:lpstr>Cretile </vt:lpstr>
      <vt:lpstr>Hardware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AARUSH</dc:creator>
  <cp:keywords/>
  <dc:description/>
  <cp:lastModifiedBy>Anita Choudhary/GSL</cp:lastModifiedBy>
  <cp:revision/>
  <dcterms:created xsi:type="dcterms:W3CDTF">2015-06-05T18:17:20Z</dcterms:created>
  <dcterms:modified xsi:type="dcterms:W3CDTF">2026-05-11T09:04:48Z</dcterms:modified>
  <cp:category/>
  <cp:contentStatus/>
</cp:coreProperties>
</file>