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maftechnologies-my.sharepoint.com/personal/ujaccounts_getsetlearn_info/Documents/MTPL/Finance Dashboard/GSL - MOU Data/"/>
    </mc:Choice>
  </mc:AlternateContent>
  <xr:revisionPtr revIDLastSave="5808" documentId="11_D857232877BA828C7259DD9009E69E74BA99B391" xr6:coauthVersionLast="47" xr6:coauthVersionMax="47" xr10:uidLastSave="{ADC098D8-8057-4B6E-85E2-49B99625E20B}"/>
  <bookViews>
    <workbookView xWindow="-120" yWindow="-120" windowWidth="20730" windowHeight="11040" activeTab="1" xr2:uid="{00000000-000D-0000-FFFF-FFFF00000000}"/>
  </bookViews>
  <sheets>
    <sheet name="STEAM 2026-27PD " sheetId="2" r:id="rId1"/>
    <sheet name="YP_2026-27" sheetId="9" r:id="rId2"/>
    <sheet name="Billing details _PD" sheetId="3" state="hidden" r:id="rId3"/>
    <sheet name="2025-26_Proforma Invoice_PD" sheetId="5" state="hidden" r:id="rId4"/>
    <sheet name="Sheet2" sheetId="7" state="hidden" r:id="rId5"/>
    <sheet name="Sheet1" sheetId="6" state="hidden" r:id="rId6"/>
    <sheet name="2026-27-PD " sheetId="4" state="hidden" r:id="rId7"/>
  </sheets>
  <externalReferences>
    <externalReference r:id="rId8"/>
  </externalReferences>
  <definedNames>
    <definedName name="_xlnm._FilterDatabase" localSheetId="2" hidden="1">'Billing details _PD'!$A$4:$L$22</definedName>
    <definedName name="_xlnm._FilterDatabase" localSheetId="0" hidden="1">'STEAM 2026-27PD '!$A$4:$AM$70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9" l="1"/>
  <c r="M6" i="9"/>
  <c r="O6" i="9"/>
  <c r="P6" i="9" s="1"/>
  <c r="R6" i="9"/>
  <c r="M7" i="9"/>
  <c r="O7" i="9"/>
  <c r="P7" i="9" s="1"/>
  <c r="R7" i="9"/>
  <c r="O8" i="9"/>
  <c r="P8" i="9"/>
  <c r="R8" i="9"/>
  <c r="O9" i="9"/>
  <c r="P9" i="9" s="1"/>
  <c r="R9" i="9"/>
  <c r="O10" i="9"/>
  <c r="S10" i="9"/>
  <c r="O11" i="9"/>
  <c r="P11" i="9"/>
  <c r="R11" i="9"/>
  <c r="O12" i="9"/>
  <c r="O13" i="9"/>
  <c r="M14" i="9"/>
  <c r="P14" i="9"/>
  <c r="R14" i="9"/>
  <c r="S14" i="9" s="1"/>
  <c r="S15" i="9" s="1"/>
  <c r="M15" i="9"/>
  <c r="N15" i="9"/>
  <c r="R15" i="9"/>
  <c r="P15" i="9" l="1"/>
  <c r="S19" i="2"/>
  <c r="O29" i="2" l="1"/>
  <c r="Q29" i="2"/>
  <c r="S29" i="2"/>
  <c r="W29" i="2" s="1"/>
  <c r="O28" i="2"/>
  <c r="Q28" i="2"/>
  <c r="S28" i="2"/>
  <c r="V28" i="2" s="1"/>
  <c r="AS28" i="2" s="1"/>
  <c r="AQ28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Z32" i="2" s="1"/>
  <c r="S31" i="2"/>
  <c r="V31" i="2" s="1"/>
  <c r="AS31" i="2" s="1"/>
  <c r="S30" i="2"/>
  <c r="V30" i="2" s="1"/>
  <c r="AS30" i="2" s="1"/>
  <c r="S27" i="2"/>
  <c r="S26" i="2"/>
  <c r="S25" i="2"/>
  <c r="S24" i="2"/>
  <c r="S23" i="2"/>
  <c r="S22" i="2"/>
  <c r="S21" i="2"/>
  <c r="S20" i="2"/>
  <c r="S18" i="2"/>
  <c r="V17" i="2"/>
  <c r="AS17" i="2" s="1"/>
  <c r="S16" i="2"/>
  <c r="S15" i="2"/>
  <c r="S8" i="2"/>
  <c r="S9" i="2"/>
  <c r="S10" i="2"/>
  <c r="S11" i="2"/>
  <c r="S12" i="2"/>
  <c r="S13" i="2"/>
  <c r="S14" i="2"/>
  <c r="S6" i="2"/>
  <c r="S7" i="2"/>
  <c r="S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30" i="2"/>
  <c r="O31" i="2"/>
  <c r="O32" i="2"/>
  <c r="O5" i="2"/>
  <c r="T54" i="2"/>
  <c r="U54" i="2"/>
  <c r="AQ54" i="2" s="1"/>
  <c r="U53" i="2"/>
  <c r="AQ53" i="2" s="1"/>
  <c r="AR70" i="2"/>
  <c r="AR71" i="2" s="1"/>
  <c r="AQ15" i="2"/>
  <c r="AQ17" i="2"/>
  <c r="AQ20" i="2"/>
  <c r="AQ21" i="2"/>
  <c r="AQ23" i="2"/>
  <c r="AQ24" i="2"/>
  <c r="AQ26" i="2"/>
  <c r="AQ27" i="2"/>
  <c r="AQ30" i="2"/>
  <c r="AQ31" i="2"/>
  <c r="AQ32" i="2"/>
  <c r="AQ35" i="2"/>
  <c r="AQ36" i="2"/>
  <c r="AQ37" i="2"/>
  <c r="AQ38" i="2"/>
  <c r="AQ39" i="2"/>
  <c r="AQ40" i="2"/>
  <c r="AQ41" i="2"/>
  <c r="AQ42" i="2"/>
  <c r="AQ43" i="2"/>
  <c r="AQ44" i="2"/>
  <c r="AQ45" i="2"/>
  <c r="AQ47" i="2"/>
  <c r="AQ48" i="2"/>
  <c r="AQ49" i="2"/>
  <c r="AQ50" i="2"/>
  <c r="AQ51" i="2"/>
  <c r="AQ52" i="2"/>
  <c r="AQ55" i="2"/>
  <c r="AQ56" i="2"/>
  <c r="AQ57" i="2"/>
  <c r="AQ58" i="2"/>
  <c r="AQ59" i="2"/>
  <c r="AQ60" i="2"/>
  <c r="AQ61" i="2"/>
  <c r="AQ62" i="2"/>
  <c r="AQ63" i="2"/>
  <c r="AQ64" i="2"/>
  <c r="AQ65" i="2"/>
  <c r="AQ66" i="2"/>
  <c r="AQ67" i="2"/>
  <c r="AQ68" i="2"/>
  <c r="AQ69" i="2"/>
  <c r="AQ13" i="2"/>
  <c r="AQ12" i="2"/>
  <c r="AQ11" i="2"/>
  <c r="AQ10" i="2"/>
  <c r="AQ9" i="2"/>
  <c r="AQ8" i="2"/>
  <c r="AP7" i="2"/>
  <c r="AP6" i="2"/>
  <c r="AP5" i="2"/>
  <c r="AD28" i="2" l="1"/>
  <c r="V29" i="2"/>
  <c r="AS29" i="2" s="1"/>
  <c r="Z29" i="2"/>
  <c r="AD29" i="2"/>
  <c r="AH29" i="2"/>
  <c r="AL29" i="2" s="1"/>
  <c r="AP70" i="2"/>
  <c r="AP71" i="2" s="1"/>
  <c r="S70" i="2"/>
  <c r="Z28" i="2"/>
  <c r="W28" i="2"/>
  <c r="AH28" i="2"/>
  <c r="AL28" i="2" s="1"/>
  <c r="V32" i="2"/>
  <c r="AS32" i="2" s="1"/>
  <c r="Q32" i="2"/>
  <c r="W32" i="2" l="1"/>
  <c r="Q37" i="2"/>
  <c r="O37" i="2" s="1"/>
  <c r="V37" i="2"/>
  <c r="AS37" i="2" s="1"/>
  <c r="Q36" i="2"/>
  <c r="O36" i="2" s="1"/>
  <c r="Q35" i="2"/>
  <c r="O35" i="2" s="1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O52" i="2" s="1"/>
  <c r="Q51" i="2"/>
  <c r="Q50" i="2"/>
  <c r="Q49" i="2"/>
  <c r="Q48" i="2"/>
  <c r="Q47" i="2"/>
  <c r="Q46" i="2"/>
  <c r="Q45" i="2"/>
  <c r="Q44" i="2"/>
  <c r="Q43" i="2"/>
  <c r="Q42" i="2"/>
  <c r="Q40" i="2"/>
  <c r="Q39" i="2"/>
  <c r="Q38" i="2"/>
  <c r="Q34" i="2"/>
  <c r="Q33" i="2"/>
  <c r="Q27" i="2"/>
  <c r="Q26" i="2"/>
  <c r="Q25" i="2"/>
  <c r="Q24" i="2"/>
  <c r="Q23" i="2"/>
  <c r="Q22" i="2"/>
  <c r="Q21" i="2"/>
  <c r="Q20" i="2"/>
  <c r="Q19" i="2"/>
  <c r="Q18" i="2"/>
  <c r="Q16" i="2"/>
  <c r="Q15" i="2"/>
  <c r="Q14" i="2"/>
  <c r="Q13" i="2"/>
  <c r="Q12" i="2"/>
  <c r="Q11" i="2"/>
  <c r="Q10" i="2"/>
  <c r="Q9" i="2"/>
  <c r="Q8" i="2"/>
  <c r="V52" i="2"/>
  <c r="AS52" i="2" s="1"/>
  <c r="V38" i="2"/>
  <c r="AS38" i="2" s="1"/>
  <c r="AH36" i="2" l="1"/>
  <c r="V36" i="2"/>
  <c r="AS36" i="2" s="1"/>
  <c r="AD35" i="2"/>
  <c r="V35" i="2"/>
  <c r="AS35" i="2" s="1"/>
  <c r="W37" i="2"/>
  <c r="W36" i="2"/>
  <c r="Z36" i="2"/>
  <c r="AD36" i="2"/>
  <c r="W35" i="2"/>
  <c r="Z35" i="2"/>
  <c r="W52" i="2"/>
  <c r="Z52" i="2"/>
  <c r="AD52" i="2"/>
  <c r="AH52" i="2"/>
  <c r="AL52" i="2" s="1"/>
  <c r="V54" i="2"/>
  <c r="AS54" i="2" s="1"/>
  <c r="O54" i="2"/>
  <c r="AD54" i="2" l="1"/>
  <c r="W54" i="2"/>
  <c r="Z54" i="2"/>
  <c r="AH54" i="2"/>
  <c r="O51" i="2" l="1"/>
  <c r="W51" i="2" l="1"/>
  <c r="V51" i="2"/>
  <c r="AS51" i="2" s="1"/>
  <c r="Z51" i="2"/>
  <c r="AD51" i="2"/>
  <c r="AH51" i="2"/>
  <c r="AL51" i="2" s="1"/>
  <c r="W31" i="2" l="1"/>
  <c r="W30" i="2"/>
  <c r="O69" i="2"/>
  <c r="N70" i="2"/>
  <c r="AD69" i="2" l="1"/>
  <c r="V69" i="2"/>
  <c r="AS69" i="2" s="1"/>
  <c r="AH69" i="2"/>
  <c r="W69" i="2"/>
  <c r="Z69" i="2"/>
  <c r="T19" i="2"/>
  <c r="AQ19" i="2" s="1"/>
  <c r="Z27" i="2" l="1"/>
  <c r="V27" i="2"/>
  <c r="AS27" i="2" s="1"/>
  <c r="AD27" i="2"/>
  <c r="W27" i="2"/>
  <c r="AH27" i="2"/>
  <c r="AL27" i="2" s="1"/>
  <c r="T33" i="2" l="1"/>
  <c r="V33" i="2" s="1"/>
  <c r="AS33" i="2" s="1"/>
  <c r="T34" i="2"/>
  <c r="AQ34" i="2" s="1"/>
  <c r="Z34" i="2"/>
  <c r="Z33" i="2"/>
  <c r="T25" i="2"/>
  <c r="AQ25" i="2" s="1"/>
  <c r="V34" i="2" l="1"/>
  <c r="AS34" i="2" s="1"/>
  <c r="W33" i="2"/>
  <c r="AQ33" i="2"/>
  <c r="AQ70" i="2" s="1"/>
  <c r="AQ71" i="2" s="1"/>
  <c r="W34" i="2"/>
  <c r="V65" i="2"/>
  <c r="AS65" i="2" s="1"/>
  <c r="V62" i="2"/>
  <c r="AS62" i="2" s="1"/>
  <c r="V61" i="2"/>
  <c r="AS61" i="2" s="1"/>
  <c r="V60" i="2"/>
  <c r="AS60" i="2" s="1"/>
  <c r="V59" i="2"/>
  <c r="AS59" i="2" s="1"/>
  <c r="V58" i="2"/>
  <c r="AS58" i="2" s="1"/>
  <c r="V57" i="2"/>
  <c r="AS57" i="2" s="1"/>
  <c r="W25" i="2" l="1"/>
  <c r="V25" i="2"/>
  <c r="AS25" i="2" s="1"/>
  <c r="Z58" i="2"/>
  <c r="W58" i="2"/>
  <c r="Z57" i="2"/>
  <c r="W57" i="2"/>
  <c r="Z62" i="2"/>
  <c r="W62" i="2"/>
  <c r="Z65" i="2"/>
  <c r="W65" i="2"/>
  <c r="AD61" i="2"/>
  <c r="W61" i="2"/>
  <c r="Z59" i="2"/>
  <c r="W59" i="2"/>
  <c r="Z60" i="2"/>
  <c r="W60" i="2"/>
  <c r="AD65" i="2"/>
  <c r="Z61" i="2"/>
  <c r="AD57" i="2"/>
  <c r="AH17" i="2"/>
  <c r="AL17" i="2" s="1"/>
  <c r="Z16" i="2"/>
  <c r="AD17" i="2"/>
  <c r="O43" i="2" l="1"/>
  <c r="O42" i="2"/>
  <c r="O44" i="2"/>
  <c r="O45" i="2"/>
  <c r="O46" i="2"/>
  <c r="O47" i="2"/>
  <c r="O48" i="2"/>
  <c r="O49" i="2"/>
  <c r="O50" i="2"/>
  <c r="O53" i="2"/>
  <c r="O55" i="2"/>
  <c r="O56" i="2"/>
  <c r="O57" i="2"/>
  <c r="O58" i="2"/>
  <c r="O59" i="2"/>
  <c r="O60" i="2"/>
  <c r="O61" i="2"/>
  <c r="O62" i="2"/>
  <c r="O64" i="2"/>
  <c r="V40" i="2"/>
  <c r="AS40" i="2" s="1"/>
  <c r="V68" i="2"/>
  <c r="AS68" i="2" s="1"/>
  <c r="W68" i="2" l="1"/>
  <c r="W40" i="2"/>
  <c r="AD40" i="2"/>
  <c r="Z40" i="2"/>
  <c r="AD68" i="2"/>
  <c r="Z68" i="2"/>
  <c r="AH68" i="2"/>
  <c r="AL68" i="2" s="1"/>
  <c r="O68" i="2"/>
  <c r="V67" i="2" l="1"/>
  <c r="AS67" i="2" s="1"/>
  <c r="V66" i="2"/>
  <c r="AS66" i="2" s="1"/>
  <c r="O67" i="2"/>
  <c r="W67" i="2" l="1"/>
  <c r="W66" i="2"/>
  <c r="AD66" i="2"/>
  <c r="Z66" i="2"/>
  <c r="AH66" i="2"/>
  <c r="AL66" i="2" s="1"/>
  <c r="Z67" i="2"/>
  <c r="AD67" i="2"/>
  <c r="V16" i="2"/>
  <c r="AS16" i="2" s="1"/>
  <c r="V12" i="2"/>
  <c r="AS12" i="2" s="1"/>
  <c r="W18" i="2" l="1"/>
  <c r="V18" i="2"/>
  <c r="AS18" i="2" s="1"/>
  <c r="AD13" i="2"/>
  <c r="V13" i="2"/>
  <c r="AS13" i="2" s="1"/>
  <c r="W14" i="2"/>
  <c r="V14" i="2"/>
  <c r="AS14" i="2" s="1"/>
  <c r="W11" i="2"/>
  <c r="V11" i="2"/>
  <c r="AS11" i="2" s="1"/>
  <c r="W15" i="2"/>
  <c r="V15" i="2"/>
  <c r="AS15" i="2" s="1"/>
  <c r="AD16" i="2"/>
  <c r="W16" i="2"/>
  <c r="Z14" i="2"/>
  <c r="AD14" i="2"/>
  <c r="Z15" i="2"/>
  <c r="AD15" i="2"/>
  <c r="Z18" i="2"/>
  <c r="AD18" i="2"/>
  <c r="AH18" i="2"/>
  <c r="AL18" i="2" s="1"/>
  <c r="Z11" i="2"/>
  <c r="AD11" i="2"/>
  <c r="AD12" i="2"/>
  <c r="AH12" i="2"/>
  <c r="AL12" i="2" s="1"/>
  <c r="Z12" i="2"/>
  <c r="V26" i="2"/>
  <c r="AS26" i="2" s="1"/>
  <c r="V63" i="2"/>
  <c r="AS63" i="2" s="1"/>
  <c r="V39" i="2"/>
  <c r="AS39" i="2" s="1"/>
  <c r="V22" i="2"/>
  <c r="AS22" i="2" s="1"/>
  <c r="V21" i="2"/>
  <c r="AS21" i="2" s="1"/>
  <c r="Z5" i="2"/>
  <c r="Q5" i="2"/>
  <c r="W9" i="2" l="1"/>
  <c r="V9" i="2"/>
  <c r="AS9" i="2" s="1"/>
  <c r="W19" i="2"/>
  <c r="V19" i="2"/>
  <c r="AS19" i="2" s="1"/>
  <c r="W8" i="2"/>
  <c r="V8" i="2"/>
  <c r="AS8" i="2" s="1"/>
  <c r="W23" i="2"/>
  <c r="V23" i="2"/>
  <c r="AS23" i="2" s="1"/>
  <c r="W10" i="2"/>
  <c r="V10" i="2"/>
  <c r="AS10" i="2" s="1"/>
  <c r="W39" i="2"/>
  <c r="W38" i="2"/>
  <c r="W63" i="2"/>
  <c r="AD19" i="2"/>
  <c r="AH19" i="2"/>
  <c r="AL19" i="2" s="1"/>
  <c r="Z19" i="2"/>
  <c r="Z63" i="2"/>
  <c r="AD63" i="2"/>
  <c r="AD9" i="2"/>
  <c r="Z9" i="2"/>
  <c r="AH25" i="2"/>
  <c r="Z25" i="2"/>
  <c r="AD25" i="2"/>
  <c r="AD39" i="2"/>
  <c r="Z39" i="2"/>
  <c r="AH39" i="2"/>
  <c r="AL39" i="2" s="1"/>
  <c r="Z8" i="2"/>
  <c r="AD8" i="2"/>
  <c r="Z10" i="2"/>
  <c r="AD10" i="2"/>
  <c r="AH38" i="2"/>
  <c r="Z38" i="2"/>
  <c r="AD38" i="2"/>
  <c r="AD23" i="2"/>
  <c r="AH23" i="2"/>
  <c r="AL23" i="2" s="1"/>
  <c r="AD22" i="2"/>
  <c r="Z22" i="2"/>
  <c r="W26" i="2"/>
  <c r="Z26" i="2"/>
  <c r="AD5" i="2"/>
  <c r="AH5" i="2"/>
  <c r="W22" i="2"/>
  <c r="AD21" i="2"/>
  <c r="AH21" i="2" s="1"/>
  <c r="AL21" i="2" s="1"/>
  <c r="W21" i="2"/>
  <c r="O66" i="2" l="1"/>
  <c r="CF66" i="2"/>
  <c r="CG66" i="2" s="1"/>
  <c r="Z17" i="2"/>
  <c r="W17" i="2"/>
  <c r="Z13" i="2" l="1"/>
  <c r="O40" i="2"/>
  <c r="O38" i="2"/>
  <c r="W24" i="2" l="1"/>
  <c r="V24" i="2"/>
  <c r="AS24" i="2" s="1"/>
  <c r="AH24" i="2"/>
  <c r="AD24" i="2"/>
  <c r="Z24" i="2"/>
  <c r="V64" i="2"/>
  <c r="AS64" i="2" s="1"/>
  <c r="V45" i="2"/>
  <c r="AS45" i="2" s="1"/>
  <c r="V44" i="2"/>
  <c r="AS44" i="2" s="1"/>
  <c r="V43" i="2"/>
  <c r="AS43" i="2" s="1"/>
  <c r="V56" i="2"/>
  <c r="AS56" i="2" s="1"/>
  <c r="V53" i="2"/>
  <c r="AS53" i="2" s="1"/>
  <c r="V42" i="2"/>
  <c r="AS42" i="2" s="1"/>
  <c r="W64" i="2" l="1"/>
  <c r="W42" i="2"/>
  <c r="W44" i="2"/>
  <c r="W56" i="2"/>
  <c r="W43" i="2"/>
  <c r="W53" i="2"/>
  <c r="W45" i="2"/>
  <c r="Z56" i="2"/>
  <c r="AH56" i="2"/>
  <c r="AL56" i="2" s="1"/>
  <c r="AD56" i="2"/>
  <c r="AD45" i="2"/>
  <c r="Z45" i="2"/>
  <c r="AH45" i="2"/>
  <c r="AL45" i="2" s="1"/>
  <c r="AD42" i="2"/>
  <c r="Z42" i="2"/>
  <c r="AH42" i="2"/>
  <c r="AL42" i="2" s="1"/>
  <c r="Z44" i="2"/>
  <c r="AH44" i="2"/>
  <c r="AL44" i="2" s="1"/>
  <c r="AD44" i="2"/>
  <c r="AD43" i="2"/>
  <c r="Z43" i="2"/>
  <c r="AD64" i="2"/>
  <c r="Z64" i="2"/>
  <c r="AD53" i="2"/>
  <c r="AH53" i="2"/>
  <c r="Z53" i="2"/>
  <c r="O39" i="2"/>
  <c r="W20" i="2" l="1"/>
  <c r="V20" i="2"/>
  <c r="AS20" i="2" s="1"/>
  <c r="A12" i="2"/>
  <c r="A13" i="2" s="1"/>
  <c r="W13" i="2"/>
  <c r="A6" i="2"/>
  <c r="V7" i="2"/>
  <c r="V6" i="2"/>
  <c r="V46" i="2"/>
  <c r="AS46" i="2" s="1"/>
  <c r="V47" i="2"/>
  <c r="AS47" i="2" s="1"/>
  <c r="V48" i="2"/>
  <c r="AS48" i="2" s="1"/>
  <c r="V49" i="2"/>
  <c r="AS49" i="2" s="1"/>
  <c r="V50" i="2"/>
  <c r="AS50" i="2" s="1"/>
  <c r="V55" i="2"/>
  <c r="AS55" i="2" s="1"/>
  <c r="O63" i="2"/>
  <c r="O65" i="2"/>
  <c r="W55" i="2" l="1"/>
  <c r="W46" i="2"/>
  <c r="AD50" i="2"/>
  <c r="Z50" i="2"/>
  <c r="Z47" i="2"/>
  <c r="AD47" i="2"/>
  <c r="AD48" i="2"/>
  <c r="Z48" i="2"/>
  <c r="Z46" i="2"/>
  <c r="AD46" i="2"/>
  <c r="AD49" i="2"/>
  <c r="Z49" i="2"/>
  <c r="AD55" i="2"/>
  <c r="Z55" i="2"/>
  <c r="O70" i="2"/>
  <c r="A14" i="2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V5" i="2"/>
  <c r="AS5" i="2" s="1"/>
  <c r="A30" i="2" l="1"/>
  <c r="A28" i="2"/>
  <c r="A29" i="2" s="1"/>
  <c r="L42" i="3"/>
  <c r="E43" i="3"/>
  <c r="G43" i="3"/>
  <c r="F7" i="3"/>
  <c r="D7" i="3"/>
  <c r="G7" i="3" s="1"/>
  <c r="J7" i="3" s="1"/>
  <c r="F6" i="3"/>
  <c r="D6" i="3"/>
  <c r="G6" i="3" s="1"/>
  <c r="J6" i="3" s="1"/>
  <c r="E17" i="3"/>
  <c r="F17" i="3" s="1"/>
  <c r="D17" i="3"/>
  <c r="E16" i="3"/>
  <c r="F16" i="3" s="1"/>
  <c r="G16" i="3" s="1"/>
  <c r="J16" i="3" s="1"/>
  <c r="D16" i="3"/>
  <c r="A31" i="2" l="1"/>
  <c r="A32" i="2" s="1"/>
  <c r="A33" i="2" s="1"/>
  <c r="G17" i="3"/>
  <c r="J17" i="3" s="1"/>
  <c r="G51" i="3" l="1"/>
  <c r="L50" i="3" s="1"/>
  <c r="G50" i="3"/>
  <c r="G52" i="3"/>
  <c r="L52" i="3" s="1"/>
  <c r="E52" i="3"/>
  <c r="A35" i="2" l="1"/>
  <c r="F38" i="3"/>
  <c r="G38" i="3" s="1"/>
  <c r="F49" i="3"/>
  <c r="G49" i="3" s="1"/>
  <c r="A36" i="2" l="1"/>
  <c r="L49" i="3"/>
  <c r="G48" i="3"/>
  <c r="L48" i="3" s="1"/>
  <c r="E47" i="3"/>
  <c r="F47" i="3" s="1"/>
  <c r="G47" i="3" s="1"/>
  <c r="L47" i="3" s="1"/>
  <c r="G46" i="3"/>
  <c r="G45" i="3"/>
  <c r="L45" i="3" s="1"/>
  <c r="E32" i="3"/>
  <c r="F32" i="3" s="1"/>
  <c r="G32" i="3" s="1"/>
  <c r="G44" i="3"/>
  <c r="L44" i="3" s="1"/>
  <c r="E44" i="3"/>
  <c r="A37" i="2" l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3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E13" i="3"/>
  <c r="F13" i="3" s="1"/>
  <c r="G13" i="3" s="1"/>
  <c r="J13" i="3" s="1"/>
  <c r="T25" i="5"/>
  <c r="O25" i="5"/>
  <c r="L25" i="5"/>
  <c r="G42" i="3" l="1"/>
  <c r="E42" i="3"/>
  <c r="X11" i="5" l="1"/>
  <c r="N23" i="4"/>
  <c r="L23" i="4"/>
  <c r="G35" i="3"/>
  <c r="E35" i="3"/>
  <c r="G41" i="3" l="1"/>
  <c r="L41" i="3" s="1"/>
  <c r="E10" i="7" l="1"/>
  <c r="G6" i="7"/>
  <c r="G5" i="7"/>
  <c r="G40" i="3"/>
  <c r="L40" i="3" s="1"/>
  <c r="G39" i="3" l="1"/>
  <c r="L39" i="3" s="1"/>
  <c r="F37" i="3" l="1"/>
  <c r="G37" i="3" s="1"/>
  <c r="L37" i="3" s="1"/>
  <c r="N22" i="4" l="1"/>
  <c r="L22" i="4"/>
  <c r="C12" i="6"/>
  <c r="C14" i="6" s="1"/>
  <c r="G36" i="3"/>
  <c r="L36" i="3" s="1"/>
  <c r="E36" i="3"/>
  <c r="C19" i="6" l="1"/>
  <c r="C15" i="6"/>
  <c r="C16" i="6" s="1"/>
  <c r="E34" i="3"/>
  <c r="G34" i="3"/>
  <c r="L34" i="3" s="1"/>
  <c r="C20" i="6" l="1"/>
  <c r="C21" i="6" s="1"/>
  <c r="C23" i="6" s="1"/>
  <c r="C25" i="6" s="1"/>
  <c r="D19" i="6"/>
  <c r="D20" i="6" s="1"/>
  <c r="D21" i="6" s="1"/>
  <c r="D23" i="6" s="1"/>
  <c r="D25" i="6" s="1"/>
  <c r="N5" i="5"/>
  <c r="L24" i="5" l="1"/>
  <c r="O24" i="5"/>
  <c r="T24" i="5" s="1"/>
  <c r="O16" i="5"/>
  <c r="T16" i="5" s="1"/>
  <c r="L23" i="5"/>
  <c r="L22" i="5"/>
  <c r="L21" i="5"/>
  <c r="L20" i="5"/>
  <c r="L19" i="5"/>
  <c r="L18" i="5"/>
  <c r="L17" i="5"/>
  <c r="L16" i="5"/>
  <c r="L15" i="5"/>
  <c r="L11" i="5"/>
  <c r="L10" i="5"/>
  <c r="O14" i="5"/>
  <c r="T14" i="5" s="1"/>
  <c r="L14" i="5"/>
  <c r="O23" i="5"/>
  <c r="T23" i="5" s="1"/>
  <c r="O22" i="5"/>
  <c r="T22" i="5" s="1"/>
  <c r="O21" i="5"/>
  <c r="T21" i="5" s="1"/>
  <c r="O20" i="5"/>
  <c r="T20" i="5" s="1"/>
  <c r="O19" i="5"/>
  <c r="T19" i="5" s="1"/>
  <c r="O18" i="5"/>
  <c r="T18" i="5" l="1"/>
  <c r="X18" i="5"/>
  <c r="G33" i="3"/>
  <c r="L33" i="3" s="1"/>
  <c r="D3" i="6" l="1"/>
  <c r="E3" i="6" s="1"/>
  <c r="F3" i="6" s="1"/>
  <c r="E31" i="3" l="1"/>
  <c r="F31" i="3" s="1"/>
  <c r="G31" i="3" s="1"/>
  <c r="L31" i="3" s="1"/>
  <c r="F30" i="3"/>
  <c r="G30" i="3" s="1"/>
  <c r="L30" i="3" s="1"/>
  <c r="O17" i="5" l="1"/>
  <c r="T17" i="5" l="1"/>
  <c r="O15" i="5" l="1"/>
  <c r="T15" i="5" s="1"/>
  <c r="O11" i="5" l="1"/>
  <c r="O10" i="5"/>
  <c r="T10" i="5" s="1"/>
  <c r="M6" i="5"/>
  <c r="O6" i="5" s="1"/>
  <c r="A6" i="5"/>
  <c r="A7" i="5" s="1"/>
  <c r="A8" i="5" s="1"/>
  <c r="A9" i="5" s="1"/>
  <c r="M5" i="5"/>
  <c r="O5" i="5" s="1"/>
  <c r="CF44" i="2" l="1"/>
  <c r="CG44" i="2" s="1"/>
  <c r="CF49" i="2"/>
  <c r="CG49" i="2" s="1"/>
  <c r="CF47" i="2"/>
  <c r="CG47" i="2" s="1"/>
  <c r="CF60" i="2"/>
  <c r="CG60" i="2" s="1"/>
  <c r="CF50" i="2"/>
  <c r="CG50" i="2" s="1"/>
  <c r="CF48" i="2"/>
  <c r="CG48" i="2" s="1"/>
  <c r="CF42" i="2"/>
  <c r="CG42" i="2" s="1"/>
  <c r="T11" i="5"/>
  <c r="T6" i="5"/>
  <c r="T5" i="5"/>
  <c r="CF12" i="2"/>
  <c r="CG12" i="2" s="1"/>
  <c r="F29" i="3" l="1"/>
  <c r="G29" i="3" s="1"/>
  <c r="F28" i="3"/>
  <c r="G28" i="3" s="1"/>
  <c r="F27" i="3"/>
  <c r="G27" i="3" s="1"/>
  <c r="F26" i="3"/>
  <c r="G26" i="3" s="1"/>
  <c r="J26" i="3" s="1"/>
  <c r="F25" i="3"/>
  <c r="G25" i="3" s="1"/>
  <c r="J27" i="3" l="1"/>
  <c r="L27" i="3" s="1"/>
  <c r="J28" i="3"/>
  <c r="L28" i="3" s="1"/>
  <c r="J29" i="3"/>
  <c r="L29" i="3" s="1"/>
  <c r="L26" i="3"/>
  <c r="T15" i="4"/>
  <c r="L15" i="4"/>
  <c r="M15" i="4" s="1"/>
  <c r="N15" i="4" s="1"/>
  <c r="T14" i="4"/>
  <c r="M14" i="4"/>
  <c r="N14" i="4" s="1"/>
  <c r="T13" i="4"/>
  <c r="M13" i="4"/>
  <c r="N13" i="4" s="1"/>
  <c r="T12" i="4"/>
  <c r="M12" i="4"/>
  <c r="N12" i="4" s="1"/>
  <c r="T11" i="4"/>
  <c r="M11" i="4"/>
  <c r="N11" i="4" s="1"/>
  <c r="M10" i="4"/>
  <c r="N10" i="4" s="1"/>
  <c r="X15" i="4" l="1"/>
  <c r="U15" i="4"/>
  <c r="AA15" i="4"/>
  <c r="R15" i="4"/>
  <c r="R11" i="4"/>
  <c r="AA11" i="4"/>
  <c r="X11" i="4"/>
  <c r="U11" i="4"/>
  <c r="X13" i="4"/>
  <c r="U13" i="4"/>
  <c r="R13" i="4"/>
  <c r="AA13" i="4"/>
  <c r="U12" i="4"/>
  <c r="R12" i="4"/>
  <c r="AA12" i="4"/>
  <c r="X12" i="4"/>
  <c r="AA14" i="4"/>
  <c r="X14" i="4"/>
  <c r="U14" i="4"/>
  <c r="R14" i="4"/>
  <c r="AV7" i="4"/>
  <c r="AU7" i="4"/>
  <c r="G24" i="3"/>
  <c r="L24" i="3" s="1"/>
  <c r="E23" i="3"/>
  <c r="F23" i="3" s="1"/>
  <c r="G23" i="3" s="1"/>
  <c r="L23" i="3" s="1"/>
  <c r="E11" i="3"/>
  <c r="F11" i="3" s="1"/>
  <c r="G11" i="3" s="1"/>
  <c r="J11" i="3" l="1"/>
  <c r="L11" i="3" s="1"/>
  <c r="F19" i="3"/>
  <c r="G19" i="3" s="1"/>
  <c r="CF59" i="2" l="1"/>
  <c r="CG59" i="2" s="1"/>
  <c r="CF55" i="2"/>
  <c r="CG55" i="2" s="1"/>
  <c r="J19" i="3"/>
  <c r="L19" i="3" s="1"/>
  <c r="E20" i="3"/>
  <c r="F20" i="3" s="1"/>
  <c r="G20" i="3" s="1"/>
  <c r="E21" i="3"/>
  <c r="F21" i="3" s="1"/>
  <c r="E22" i="3"/>
  <c r="F22" i="3" s="1"/>
  <c r="F18" i="3"/>
  <c r="G18" i="3" s="1"/>
  <c r="E15" i="3"/>
  <c r="F15" i="3" s="1"/>
  <c r="D15" i="3"/>
  <c r="E14" i="3"/>
  <c r="F14" i="3" s="1"/>
  <c r="G14" i="3" s="1"/>
  <c r="E12" i="3"/>
  <c r="F12" i="3" s="1"/>
  <c r="G12" i="3" s="1"/>
  <c r="E10" i="3"/>
  <c r="F10" i="3" s="1"/>
  <c r="G10" i="3" s="1"/>
  <c r="E9" i="3"/>
  <c r="F9" i="3" s="1"/>
  <c r="G9" i="3" s="1"/>
  <c r="E8" i="3"/>
  <c r="F8" i="3" s="1"/>
  <c r="G8" i="3" s="1"/>
  <c r="F5" i="3"/>
  <c r="D5" i="3"/>
  <c r="A9" i="3"/>
  <c r="A10" i="3" s="1"/>
  <c r="A12" i="3" l="1"/>
  <c r="A14" i="3" s="1"/>
  <c r="A15" i="3" s="1"/>
  <c r="A18" i="3" s="1"/>
  <c r="J8" i="3"/>
  <c r="L8" i="3" s="1"/>
  <c r="G22" i="3"/>
  <c r="L22" i="3" s="1"/>
  <c r="J9" i="3"/>
  <c r="L9" i="3" s="1"/>
  <c r="J20" i="3"/>
  <c r="L20" i="3" s="1"/>
  <c r="J10" i="3"/>
  <c r="L10" i="3" s="1"/>
  <c r="J14" i="3"/>
  <c r="L14" i="3" s="1"/>
  <c r="J12" i="3"/>
  <c r="L12" i="3" s="1"/>
  <c r="J18" i="3"/>
  <c r="L18" i="3" s="1"/>
  <c r="G5" i="3"/>
  <c r="G21" i="3"/>
  <c r="G15" i="3"/>
  <c r="A20" i="3" l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3" i="3" s="1"/>
  <c r="A34" i="3" s="1"/>
  <c r="A36" i="3" s="1"/>
  <c r="A37" i="3" s="1"/>
  <c r="A39" i="3" s="1"/>
  <c r="A40" i="3" s="1"/>
  <c r="A41" i="3" s="1"/>
  <c r="A42" i="3" s="1"/>
  <c r="A44" i="3" s="1"/>
  <c r="A45" i="3" s="1"/>
  <c r="A46" i="3" s="1"/>
  <c r="A47" i="3" s="1"/>
  <c r="A48" i="3" s="1"/>
  <c r="A49" i="3" s="1"/>
  <c r="A50" i="3" s="1"/>
  <c r="A52" i="3" s="1"/>
  <c r="J15" i="3"/>
  <c r="L15" i="3" s="1"/>
  <c r="J21" i="3"/>
  <c r="L21" i="3" s="1"/>
  <c r="J5" i="3"/>
  <c r="L5" i="3" s="1"/>
  <c r="W12" i="2" l="1"/>
  <c r="W47" i="2"/>
  <c r="CF62" i="2"/>
  <c r="CG62" i="2" s="1"/>
  <c r="CF63" i="2" l="1"/>
  <c r="CG63" i="2" s="1"/>
  <c r="CF43" i="2"/>
  <c r="CG43" i="2" s="1"/>
  <c r="CF65" i="2"/>
  <c r="CG65" i="2" s="1"/>
  <c r="CF61" i="2"/>
  <c r="CG61" i="2" s="1"/>
  <c r="CF46" i="2"/>
  <c r="CG46" i="2" s="1"/>
  <c r="CF45" i="2"/>
  <c r="CG45" i="2" s="1"/>
  <c r="J25" i="3"/>
  <c r="L25" i="3" s="1"/>
  <c r="CF57" i="2" l="1"/>
  <c r="CG57" i="2" s="1"/>
  <c r="CF58" i="2"/>
  <c r="CG58" i="2" s="1"/>
  <c r="L7" i="5"/>
  <c r="O7" i="5"/>
  <c r="T7" i="5" s="1"/>
  <c r="L13" i="5"/>
  <c r="O13" i="5"/>
  <c r="T13" i="5" s="1"/>
  <c r="O8" i="5"/>
  <c r="T8" i="5" s="1"/>
  <c r="L8" i="5"/>
  <c r="L9" i="5"/>
  <c r="O9" i="5"/>
  <c r="T9" i="5" s="1"/>
  <c r="O12" i="5"/>
  <c r="L12" i="5"/>
  <c r="T12" i="5" l="1"/>
  <c r="X12" i="5"/>
  <c r="Q41" i="2" l="1"/>
  <c r="Z41" i="2" l="1"/>
  <c r="V41" i="2"/>
  <c r="AS41" i="2" s="1"/>
  <c r="AS70" i="2" s="1"/>
  <c r="AS71" i="2" s="1"/>
  <c r="W41" i="2"/>
  <c r="AH41" i="2"/>
  <c r="AL41" i="2" s="1"/>
  <c r="AD4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tc={968D6143-51BA-4491-8937-3D4D478775AD}</author>
    <author>tc={C1A3D4ED-0D75-4F02-A28F-AA8ACDE898CB}</author>
    <author>tc={03608D93-8A45-4F0E-8FF3-12BA69B01A79}</author>
  </authors>
  <commentList>
    <comment ref="R24" authorId="0" shapeId="0" xr:uid="{968D6143-51BA-4491-8937-3D4D478775A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2nd &amp; 3rd year - Rs.1416 
</t>
      </text>
    </comment>
    <comment ref="R26" authorId="1" shapeId="0" xr:uid="{C1A3D4ED-0D75-4F02-A28F-AA8ACDE898C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Check no of kits 
</t>
      </text>
    </comment>
    <comment ref="Z56" authorId="2" shapeId="0" xr:uid="{03608D93-8A45-4F0E-8FF3-12BA69B01A79}">
      <text>
        <t>[Threaded comment]
Your version of Excel allows you to read this threaded comment; however, any edits to it will get removed if the file is opened in a newer version of Excel. Learn more: https://go.microsoft.com/fwlink/?linkid=870924
Comment:
    VEX kits - MTPL/UP/2627/1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tc={2CF149D2-AB62-46C0-9ECA-29F33C0716C0}</author>
  </authors>
  <commentList>
    <comment ref="E5" authorId="0" shapeId="0" xr:uid="{2CF149D2-AB62-46C0-9ECA-29F33C0716C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As per Pratik yes but we didn’t received
</t>
      </text>
    </comment>
  </commentList>
</comments>
</file>

<file path=xl/sharedStrings.xml><?xml version="1.0" encoding="utf-8"?>
<sst xmlns="http://schemas.openxmlformats.org/spreadsheetml/2006/main" count="1428" uniqueCount="474">
  <si>
    <t>GET SET LEARN</t>
  </si>
  <si>
    <t>SALES MOU SUMMARY : FY 25-26</t>
  </si>
  <si>
    <t>TINKRWORKS COST</t>
  </si>
  <si>
    <t>INSTALLMENT I</t>
  </si>
  <si>
    <t>INSTALLMENT II</t>
  </si>
  <si>
    <t>INSTALLMENT III</t>
  </si>
  <si>
    <t>INSTALLMENT IV</t>
  </si>
  <si>
    <t>P3</t>
  </si>
  <si>
    <t>AE2 (3to 4)</t>
  </si>
  <si>
    <t>LP</t>
  </si>
  <si>
    <t>SB</t>
  </si>
  <si>
    <t>TEX</t>
  </si>
  <si>
    <t>PP</t>
  </si>
  <si>
    <t>TB</t>
  </si>
  <si>
    <t>TSYN</t>
  </si>
  <si>
    <t>MC</t>
  </si>
  <si>
    <t>SL</t>
  </si>
  <si>
    <t>Tech A Sketch</t>
  </si>
  <si>
    <t>Tpy</t>
  </si>
  <si>
    <t>Total COGS</t>
  </si>
  <si>
    <t>Storage Cost</t>
  </si>
  <si>
    <t>Wear &amp; Tear</t>
  </si>
  <si>
    <t>Work Sheet Cost Per Student</t>
  </si>
  <si>
    <t>Booklet cost per student</t>
  </si>
  <si>
    <t>Outward Freight</t>
  </si>
  <si>
    <t>Channel Partner Cost (% of Sale)</t>
  </si>
  <si>
    <t>Training Cost (% of Sale)</t>
  </si>
  <si>
    <t>Total Cost</t>
  </si>
  <si>
    <t>Profit</t>
  </si>
  <si>
    <t>Sr. No.</t>
  </si>
  <si>
    <t>Name of School</t>
  </si>
  <si>
    <t>No. of Schools</t>
  </si>
  <si>
    <t>Physical copy &amp; Scanned</t>
  </si>
  <si>
    <t>MOU</t>
  </si>
  <si>
    <t>Kits Sent</t>
  </si>
  <si>
    <t>Duration</t>
  </si>
  <si>
    <t>City / Location</t>
  </si>
  <si>
    <t>State</t>
  </si>
  <si>
    <t>No. of Students (As per MOU)</t>
  </si>
  <si>
    <t>Actual No. of Students (As per Invoice)</t>
  </si>
  <si>
    <t>SP per Student (w/o Tax)</t>
  </si>
  <si>
    <t>SP per Student (including Tax)</t>
  </si>
  <si>
    <t>Sales Amount (including Tax)</t>
  </si>
  <si>
    <t>Amount Received</t>
  </si>
  <si>
    <t>Full / Part Invoice  Raised</t>
  </si>
  <si>
    <t>%</t>
  </si>
  <si>
    <t>Amount</t>
  </si>
  <si>
    <t>Month</t>
  </si>
  <si>
    <t>Total No. of Kits</t>
  </si>
  <si>
    <t>COGS</t>
  </si>
  <si>
    <t>Sale Price w/o GSt</t>
  </si>
  <si>
    <t>Profit / (Loss) Per School</t>
  </si>
  <si>
    <t>Laxmipat Singhania Academy</t>
  </si>
  <si>
    <t>Existing School</t>
  </si>
  <si>
    <t>YES</t>
  </si>
  <si>
    <t>01st April 2025 to 31st march 2026</t>
  </si>
  <si>
    <t>Kolkata</t>
  </si>
  <si>
    <t>West Bengal</t>
  </si>
  <si>
    <t>Sep-25</t>
  </si>
  <si>
    <t>Don Bosco Bandel</t>
  </si>
  <si>
    <t>Bandel, West Bengal</t>
  </si>
  <si>
    <t>Jun-25</t>
  </si>
  <si>
    <t>Oct-25</t>
  </si>
  <si>
    <t>Jan-25</t>
  </si>
  <si>
    <t>Loreto Day School BB</t>
  </si>
  <si>
    <t>Apr-25</t>
  </si>
  <si>
    <t>Jul-25</t>
  </si>
  <si>
    <t>Loreto House - Kolkata</t>
  </si>
  <si>
    <t>AWAITED</t>
  </si>
  <si>
    <t>Aug-25</t>
  </si>
  <si>
    <t>Carmel Convent High School, Durgapur</t>
  </si>
  <si>
    <t>Durgapur, West bengal</t>
  </si>
  <si>
    <t>Carmel School, Durgapur</t>
  </si>
  <si>
    <t>Julien Educational Trust, Eglin Road</t>
  </si>
  <si>
    <t>Julien Educational Trust, Kalyani</t>
  </si>
  <si>
    <t>Kalyani</t>
  </si>
  <si>
    <t>Julien Educational Trust, Ganganagar</t>
  </si>
  <si>
    <t>Ganganagar</t>
  </si>
  <si>
    <t>Julien Educational Trust, Howrah</t>
  </si>
  <si>
    <t>Howrah</t>
  </si>
  <si>
    <t>Contai Public School</t>
  </si>
  <si>
    <t>Young Horizons School</t>
  </si>
  <si>
    <t>Swarnim International School</t>
  </si>
  <si>
    <t>St. Paul’s Mission School</t>
  </si>
  <si>
    <t>St. Paul Boarding and Day School</t>
  </si>
  <si>
    <t>Lions Calcutta Greater Vidya Mandir</t>
  </si>
  <si>
    <t>Sonarpur</t>
  </si>
  <si>
    <t>St. John’s School</t>
  </si>
  <si>
    <t>St. Montfort's Sr. Secondary School, Baruipur</t>
  </si>
  <si>
    <t>Berhampore City Public School</t>
  </si>
  <si>
    <t>Berhampore</t>
  </si>
  <si>
    <t>Shaw Public School</t>
  </si>
  <si>
    <t>Sri R. N. Singh Memorial High School (For Class 8)</t>
  </si>
  <si>
    <t>Sri R. N. Singh Memorial High School</t>
  </si>
  <si>
    <t>BGS School</t>
  </si>
  <si>
    <t>Doon Scholars School</t>
  </si>
  <si>
    <t>RBSM PUBLIC SCHOOL</t>
  </si>
  <si>
    <t>Haryana</t>
  </si>
  <si>
    <t>NO</t>
  </si>
  <si>
    <t>The Shree ji school</t>
  </si>
  <si>
    <t>As per email</t>
  </si>
  <si>
    <t>Faridabad</t>
  </si>
  <si>
    <t>Sumana Dutta Memorial Vivekananda International School</t>
  </si>
  <si>
    <t>Singhbhum</t>
  </si>
  <si>
    <t>Jharkhand</t>
  </si>
  <si>
    <t>01st April 2026 to 31st March 2027</t>
  </si>
  <si>
    <t>Loreto Day School Kolkata</t>
  </si>
  <si>
    <t>INSTALLMENT 1</t>
  </si>
  <si>
    <t>Bill no.</t>
  </si>
  <si>
    <t>Unbilled Amount</t>
  </si>
  <si>
    <t>April</t>
  </si>
  <si>
    <t>MTPL/UP/25-26/6</t>
  </si>
  <si>
    <t>MTPL/UP/25-26/5</t>
  </si>
  <si>
    <t>MTPL/UP/25-26/7</t>
  </si>
  <si>
    <t>MTPL/UP/25-26/8</t>
  </si>
  <si>
    <t>May</t>
  </si>
  <si>
    <t>MTPL/UP/25-26/21</t>
  </si>
  <si>
    <t>MTPL/UP/25-26/9</t>
  </si>
  <si>
    <t>MTPL/UP/25-26/10</t>
  </si>
  <si>
    <t>MTPL/UP/25-26/11</t>
  </si>
  <si>
    <t>MTPL/UP/25-26/12 -</t>
  </si>
  <si>
    <t xml:space="preserve"> MTPL/UP/25-26/17</t>
  </si>
  <si>
    <t>MTPL/UP/25-26/13 ; 14 / 15</t>
  </si>
  <si>
    <t>MTPL/UP/25-26/4</t>
  </si>
  <si>
    <t>MTPL/UP/25-26/22</t>
  </si>
  <si>
    <t>June</t>
  </si>
  <si>
    <t>MTPL/UP/25-26/25</t>
  </si>
  <si>
    <t>MTPL/UP/25-26/26</t>
  </si>
  <si>
    <t>MTPL/UP/25-26/27</t>
  </si>
  <si>
    <t>MTPL/UP/25-26/28</t>
  </si>
  <si>
    <t>MTPL/UP/25-26/29</t>
  </si>
  <si>
    <t>MTPL/UP/25-26/30</t>
  </si>
  <si>
    <t>PI</t>
  </si>
  <si>
    <t>Sri Ram Narayan Singh Memorial High School</t>
  </si>
  <si>
    <t>01st July 2025 to 31st march 2026</t>
  </si>
  <si>
    <t xml:space="preserve">Kalaberia </t>
  </si>
  <si>
    <t>Hariyana International Academy - Class 3 &amp; 4</t>
  </si>
  <si>
    <t>Before Comm of Course</t>
  </si>
  <si>
    <t>Hariyana International Academy - Class 2 - 7</t>
  </si>
  <si>
    <t>National Gems Higher Secondary School</t>
  </si>
  <si>
    <t>July</t>
  </si>
  <si>
    <t>MTPL/UP/25-26/41</t>
  </si>
  <si>
    <t>MTPL/UP/25-26/42</t>
  </si>
  <si>
    <t>Uttar Pradesh</t>
  </si>
  <si>
    <t>Meerut</t>
  </si>
  <si>
    <t>yes</t>
  </si>
  <si>
    <t>Pending</t>
  </si>
  <si>
    <t>B I T Global School</t>
  </si>
  <si>
    <t>No of student</t>
  </si>
  <si>
    <t>Selling Price</t>
  </si>
  <si>
    <t>Discount @20%</t>
  </si>
  <si>
    <t>1st Installment 25%</t>
  </si>
  <si>
    <t xml:space="preserve">Total Amount </t>
  </si>
  <si>
    <t>TINKRSPHERE ACADEMY,</t>
  </si>
  <si>
    <t>MTPL/UP/25-26/45</t>
  </si>
  <si>
    <t>St. Paul's Boarding And Day School</t>
  </si>
  <si>
    <t>Swarnim International  School</t>
  </si>
  <si>
    <t>St. Montfort's Senior Secondary School</t>
  </si>
  <si>
    <t>Loreto Day School, Bow Bazar-Kolkata</t>
  </si>
  <si>
    <t>PI No.</t>
  </si>
  <si>
    <t>MTPL/UP/2526/18</t>
  </si>
  <si>
    <t>MTPL/UP/2526/19</t>
  </si>
  <si>
    <t>MTPL/UP/2526/20</t>
  </si>
  <si>
    <t>MTPL/UP/2526/22</t>
  </si>
  <si>
    <t>MTPL/UP/2526/21</t>
  </si>
  <si>
    <t>MTPL/UP/2526/25</t>
  </si>
  <si>
    <t>MTPL/UP/2526/26</t>
  </si>
  <si>
    <t>MTPL/UP/2526/27</t>
  </si>
  <si>
    <t>RBSM Public School</t>
  </si>
  <si>
    <t>MTPL/UP/2526/29</t>
  </si>
  <si>
    <t>MTPL/UP/2526/30</t>
  </si>
  <si>
    <t>MTPL/UP/2526/37</t>
  </si>
  <si>
    <t>MTPL/UP/2526/36</t>
  </si>
  <si>
    <t>MTPL/UP/2526/39</t>
  </si>
  <si>
    <t>MTPL/UP/2526/43</t>
  </si>
  <si>
    <t>MTPL/UP/2526/44</t>
  </si>
  <si>
    <t>MTPL/UP/2526/45</t>
  </si>
  <si>
    <t>MTPL/UP/2526/46</t>
  </si>
  <si>
    <t>MTPL/UP/2526/47</t>
  </si>
  <si>
    <t>MTPL/UP/2526/48</t>
  </si>
  <si>
    <t>MTPL/UP/2526/49</t>
  </si>
  <si>
    <t>MTPL/UP/2526/50</t>
  </si>
  <si>
    <t>Frank Public School</t>
  </si>
  <si>
    <t>Yes</t>
  </si>
  <si>
    <t>Discount</t>
  </si>
  <si>
    <t>MTPL/UP/25-26/37</t>
  </si>
  <si>
    <t>MTPL/UP/25-26/50</t>
  </si>
  <si>
    <t>BIT Global  TDS Working</t>
  </si>
  <si>
    <t>No of Student</t>
  </si>
  <si>
    <t>Without GST Selling cost (a)</t>
  </si>
  <si>
    <t>Add Gst @18% (b)</t>
  </si>
  <si>
    <t>C</t>
  </si>
  <si>
    <t>Performa Invoice Value</t>
  </si>
  <si>
    <t>1st Installment @25% on (a)</t>
  </si>
  <si>
    <t>2nd Installment @25% on(a)</t>
  </si>
  <si>
    <t>Total PI Amount</t>
  </si>
  <si>
    <t>Net Receivable</t>
  </si>
  <si>
    <t>Balance receivable</t>
  </si>
  <si>
    <t>Less :TDS @2%</t>
  </si>
  <si>
    <t>Add :GST @18%</t>
  </si>
  <si>
    <t>Less :Advance received</t>
  </si>
  <si>
    <t>Total selling cost incl. 18% GST</t>
  </si>
  <si>
    <t>Selling Cost per student incl tax</t>
  </si>
  <si>
    <t>MTPL/UP/2526/52</t>
  </si>
  <si>
    <t>PI NO</t>
  </si>
  <si>
    <t>MTPL/UP/2526/09</t>
  </si>
  <si>
    <t>The Scottish Church Collegiate School</t>
  </si>
  <si>
    <t>01st August 2025 to 31st march 2026</t>
  </si>
  <si>
    <t>01st January 2026 to 31st December 2026</t>
  </si>
  <si>
    <t xml:space="preserve">B I T Global School </t>
  </si>
  <si>
    <t>Aug</t>
  </si>
  <si>
    <t>MTPL/UP/25-26/63</t>
  </si>
  <si>
    <t>MTPL/UP/25-26/62</t>
  </si>
  <si>
    <t>MTPL/UP/25-26/64</t>
  </si>
  <si>
    <t>Credit Note</t>
  </si>
  <si>
    <t>Date</t>
  </si>
  <si>
    <t>Invoice  Value</t>
  </si>
  <si>
    <t>Net Payable</t>
  </si>
  <si>
    <t>For - 24-25</t>
  </si>
  <si>
    <t>For - 25-26 _ Total no of student -175</t>
  </si>
  <si>
    <t>Invoice No</t>
  </si>
  <si>
    <t>Credit Note No</t>
  </si>
  <si>
    <t>MTPL/UP/2526/08</t>
  </si>
  <si>
    <t>MTPL/CN/UP/2526/1</t>
  </si>
  <si>
    <t>MTPL/CN/UP/2526/2</t>
  </si>
  <si>
    <t>MTPL/UP/2425/16</t>
  </si>
  <si>
    <t>MTPL/UP/25-26/51</t>
  </si>
  <si>
    <t>MTPL/UP/25-26/68</t>
  </si>
  <si>
    <t>Rishi Aurobindo Memorial Academy</t>
  </si>
  <si>
    <t>MTPL/UP/25-26/70</t>
  </si>
  <si>
    <t>MTPL/UP/2526/55</t>
  </si>
  <si>
    <t>MTPL/UP/25-26/75</t>
  </si>
  <si>
    <t>Sep</t>
  </si>
  <si>
    <t>MTPL/UP/25-26/78</t>
  </si>
  <si>
    <t>MTPL/UP/25-26/79</t>
  </si>
  <si>
    <t>Stepping Stone Model School</t>
  </si>
  <si>
    <t>MTPL/UP/25-26/65</t>
  </si>
  <si>
    <t>Already raised</t>
  </si>
  <si>
    <t>To be raised</t>
  </si>
  <si>
    <t>100% Invoice done</t>
  </si>
  <si>
    <t>Payment Receive</t>
  </si>
  <si>
    <t>Payment Received</t>
  </si>
  <si>
    <t>MTPL/UP/25-26/102</t>
  </si>
  <si>
    <t>Oct</t>
  </si>
  <si>
    <t>MTPL/UP/25-26/103</t>
  </si>
  <si>
    <t>MTPL/UP/25-26/113</t>
  </si>
  <si>
    <t>MTPL/UP/25-26/111</t>
  </si>
  <si>
    <t>MTPL/UP/25-26/112</t>
  </si>
  <si>
    <t>MTPL/UP/25-26/133</t>
  </si>
  <si>
    <t>MTPL/UP/25-26/134</t>
  </si>
  <si>
    <t>Nov</t>
  </si>
  <si>
    <t>MTPL/UP/25-26/141</t>
  </si>
  <si>
    <t>MTPL/UP/25-26/142</t>
  </si>
  <si>
    <t>MTPL/UP/25-26/146</t>
  </si>
  <si>
    <t>Payment Received &amp; billing done</t>
  </si>
  <si>
    <t>TDS Amount</t>
  </si>
  <si>
    <t>Balance Outstanding</t>
  </si>
  <si>
    <t>% Received</t>
  </si>
  <si>
    <t>SALES MOU SUMMARY : FY 26-27</t>
  </si>
  <si>
    <t>01st April 2026 to 31st march 2028</t>
  </si>
  <si>
    <t>Union Territory of Ladakh</t>
  </si>
  <si>
    <t>Mutahhary Public School Baroo</t>
  </si>
  <si>
    <t>Jnana Bharathi English School</t>
  </si>
  <si>
    <t>No</t>
  </si>
  <si>
    <t>01st April 2026 to 31st march 2027</t>
  </si>
  <si>
    <t>Bengaluru</t>
  </si>
  <si>
    <t>Karanataka</t>
  </si>
  <si>
    <t>Mahrishi Dayanand School</t>
  </si>
  <si>
    <t>Sales Representative</t>
  </si>
  <si>
    <t xml:space="preserve">Prodipto </t>
  </si>
  <si>
    <t xml:space="preserve">Sahil </t>
  </si>
  <si>
    <t xml:space="preserve">Balachandra </t>
  </si>
  <si>
    <t>Ranotosh</t>
  </si>
  <si>
    <t>Krishnamurthy</t>
  </si>
  <si>
    <t>Sabyasachi</t>
  </si>
  <si>
    <t>Anshuman</t>
  </si>
  <si>
    <t>Somnath</t>
  </si>
  <si>
    <t>Roveena</t>
  </si>
  <si>
    <t>Techno India Group Public School Kalyani</t>
  </si>
  <si>
    <t>Techno India Group Public School Asansol</t>
  </si>
  <si>
    <t>Techno India Group Public School Panagarh</t>
  </si>
  <si>
    <t>01st April 2026 to 31st March 2028</t>
  </si>
  <si>
    <t>St. Mary Convent School</t>
  </si>
  <si>
    <t>Meghalaya</t>
  </si>
  <si>
    <t>Hirak</t>
  </si>
  <si>
    <t>Rootland Sec. School</t>
  </si>
  <si>
    <t>The Learning Sanctuary</t>
  </si>
  <si>
    <t xml:space="preserve"> Embee Rosebud Hr. Sec. School</t>
  </si>
  <si>
    <t>Amtala</t>
  </si>
  <si>
    <t>01st March 2026 to 31st January 2027</t>
  </si>
  <si>
    <t>27th January 2026 to 30th November 2026</t>
  </si>
  <si>
    <t>Tura</t>
  </si>
  <si>
    <t>no</t>
  </si>
  <si>
    <t>Don Bonsco Krishnanagar</t>
  </si>
  <si>
    <t>01st April 2026 to 31st March 2029</t>
  </si>
  <si>
    <t>Krishnanagar</t>
  </si>
  <si>
    <t>Status</t>
  </si>
  <si>
    <t>New</t>
  </si>
  <si>
    <t>Retained</t>
  </si>
  <si>
    <t>Blue Angels Global School</t>
  </si>
  <si>
    <t>Tanuj</t>
  </si>
  <si>
    <t>Tathastu Innovations (LAB ) Meerut</t>
  </si>
  <si>
    <t xml:space="preserve">Kavyapta Global School </t>
  </si>
  <si>
    <t>Jamshedpur</t>
  </si>
  <si>
    <t>St. Johns High School</t>
  </si>
  <si>
    <t>Model</t>
  </si>
  <si>
    <t>Holy Child English Academy, Malda</t>
  </si>
  <si>
    <t>Malda</t>
  </si>
  <si>
    <t>SD Senior Secondary School</t>
  </si>
  <si>
    <t>Mahendragarh</t>
  </si>
  <si>
    <t>Christ Mission School</t>
  </si>
  <si>
    <t xml:space="preserve">Patna </t>
  </si>
  <si>
    <t>Bihar</t>
  </si>
  <si>
    <t>Delhi World Public School, Barasat</t>
  </si>
  <si>
    <t>Parganas</t>
  </si>
  <si>
    <t>Darshan Academy, Devlali</t>
  </si>
  <si>
    <t>Suresh</t>
  </si>
  <si>
    <t>Nashik</t>
  </si>
  <si>
    <t>Maharashtra</t>
  </si>
  <si>
    <t>Jaffaria Academy of Modern Education - Kargil</t>
  </si>
  <si>
    <t>Kargil</t>
  </si>
  <si>
    <t>Kashmir</t>
  </si>
  <si>
    <t>B.D Memorial Jr. School</t>
  </si>
  <si>
    <t>K.E Carmel School - Amtala</t>
  </si>
  <si>
    <t>K.E Carmel School - Suri</t>
  </si>
  <si>
    <t>Suri</t>
  </si>
  <si>
    <t>On Mail</t>
  </si>
  <si>
    <t>Medinpur</t>
  </si>
  <si>
    <t>Ramanarayana Education Trust</t>
  </si>
  <si>
    <t>Mar-26</t>
  </si>
  <si>
    <t>Jun-26</t>
  </si>
  <si>
    <t>Sep-26</t>
  </si>
  <si>
    <t>Dec-26</t>
  </si>
  <si>
    <t>Expected Revenue</t>
  </si>
  <si>
    <t>As these were exsiting Schools ; No. of Actual students in Previous year considered for Expected revenue</t>
  </si>
  <si>
    <t>TT</t>
  </si>
  <si>
    <t>GSL-T</t>
  </si>
  <si>
    <t xml:space="preserve"> signing of Mou</t>
  </si>
  <si>
    <t>Apr-26</t>
  </si>
  <si>
    <t>advance</t>
  </si>
  <si>
    <t>before commencement</t>
  </si>
  <si>
    <t>May-25</t>
  </si>
  <si>
    <t>GNIMS Business School</t>
  </si>
  <si>
    <t>Sumit</t>
  </si>
  <si>
    <t>Bootcamp</t>
  </si>
  <si>
    <t>05th March 2026 to 31st July 2028</t>
  </si>
  <si>
    <t>Mumbai</t>
  </si>
  <si>
    <t xml:space="preserve">Guru Nanak Institute of Management Studies </t>
  </si>
  <si>
    <t>18th Feb 2026 to 31st July 2028</t>
  </si>
  <si>
    <t>Empyrean School</t>
  </si>
  <si>
    <t>Dehradun</t>
  </si>
  <si>
    <t>Uttarakhand</t>
  </si>
  <si>
    <t>TJS Public School (CBSE)</t>
  </si>
  <si>
    <t>Balu R</t>
  </si>
  <si>
    <t>01st June 2026 to 31st May 2027</t>
  </si>
  <si>
    <t>Thiruvallur</t>
  </si>
  <si>
    <t>Tamil Nadu</t>
  </si>
  <si>
    <t>GMR International School</t>
  </si>
  <si>
    <t>Siddipet</t>
  </si>
  <si>
    <t>Telangana</t>
  </si>
  <si>
    <t>Brij Singh</t>
  </si>
  <si>
    <t>AIQ</t>
  </si>
  <si>
    <t>01st April 2026 to 28th February 2028</t>
  </si>
  <si>
    <t>St. Johns High School - RKP</t>
  </si>
  <si>
    <t>Cardinal Warriors School</t>
  </si>
  <si>
    <t>Nimora</t>
  </si>
  <si>
    <t>Chhattisgarh</t>
  </si>
  <si>
    <t>Radcliffe Education Private Limited</t>
  </si>
  <si>
    <t>B.K. Birla Public School - Kalyan</t>
  </si>
  <si>
    <t>Kalyan</t>
  </si>
  <si>
    <t>All amount Including GST</t>
  </si>
  <si>
    <t>Invoice not Raised &amp; Payment Received</t>
  </si>
  <si>
    <t>Invoice Raised &amp; Payment Received</t>
  </si>
  <si>
    <t>Invoice raised but payment not received</t>
  </si>
  <si>
    <t>Invoice not raised &amp; Payment not received</t>
  </si>
  <si>
    <t>Total</t>
  </si>
  <si>
    <t>w/o GST</t>
  </si>
  <si>
    <t>Sale Amount as per MOU 
(including Tax)</t>
  </si>
  <si>
    <t>Abhyasa Public School</t>
  </si>
  <si>
    <t>Pune</t>
  </si>
  <si>
    <t>Loreto Convent Entally</t>
  </si>
  <si>
    <t>08th May 2026 to 31st March 2028</t>
  </si>
  <si>
    <t>partly recd</t>
  </si>
  <si>
    <t>Attachment</t>
  </si>
  <si>
    <t>-</t>
  </si>
  <si>
    <t>TIGPS ASANSOL.pdf</t>
  </si>
  <si>
    <t>TIGPS KALYANI.pdf</t>
  </si>
  <si>
    <t>TIGPS PANAGARH.pdf</t>
  </si>
  <si>
    <t>Kavyapta Global School, JSR.pdf</t>
  </si>
  <si>
    <t>K.E Carmel,Amtala.pdf</t>
  </si>
  <si>
    <t>KE Carmel suri.pdf</t>
  </si>
  <si>
    <t>Blue Angels Global School.pdf</t>
  </si>
  <si>
    <t>SD School.pdf</t>
  </si>
  <si>
    <t>Christ Mission School, Patna MOU.pdf</t>
  </si>
  <si>
    <t>Delhi World public School.pdf</t>
  </si>
  <si>
    <t>Jaffaria Kargil.pdf</t>
  </si>
  <si>
    <t>TJS Public School.pdf</t>
  </si>
  <si>
    <t>Loreto Convent Entally.pdf</t>
  </si>
  <si>
    <t>GNIMS Business School MOU.pdf</t>
  </si>
  <si>
    <t>Guru Nanak Institute of Management Studies MOU.pdf</t>
  </si>
  <si>
    <t>St Johns H S.pdf</t>
  </si>
  <si>
    <t>Cardinal Warriors Raipur.pdf</t>
  </si>
  <si>
    <t>Radcliffe group Schools_Mou.pdf</t>
  </si>
  <si>
    <t>Lions calcutta Greater Vidya Mandir.pdf</t>
  </si>
  <si>
    <t>BIT Global Meerut</t>
  </si>
  <si>
    <t>Don Bosco School - MOU.pdf</t>
  </si>
  <si>
    <t>Contai Public School.pdf</t>
  </si>
  <si>
    <t>St . Pauls Boarding and Day School.pdf</t>
  </si>
  <si>
    <t>St Johns RKP.pdf</t>
  </si>
  <si>
    <t>Darshan academy</t>
  </si>
  <si>
    <t>Narayana School.pdf</t>
  </si>
  <si>
    <t>GMR International _ Sumit.pdf</t>
  </si>
  <si>
    <t>Loreto house</t>
  </si>
  <si>
    <t>Loreto Day School , Bou Bazar.pdf</t>
  </si>
  <si>
    <t>Carmel Convent High School MAMC Durgapur.pdf</t>
  </si>
  <si>
    <t>Carmel School Durgapur.pdf</t>
  </si>
  <si>
    <t>St Montforts Sr Secondary School.pdf</t>
  </si>
  <si>
    <t>Julien Educational Trust.pdf</t>
  </si>
  <si>
    <t>St Pauls Mission School.pdf</t>
  </si>
  <si>
    <t>Berhampore City Public School.pdf</t>
  </si>
  <si>
    <t>Sri Ram Narayan Singh Memorial High.pdf</t>
  </si>
  <si>
    <t>Sumana Dutta Memorial Vivekananda International School MOU.pdf</t>
  </si>
  <si>
    <t>Hariyana International Academy_Mou.pdf</t>
  </si>
  <si>
    <t>Rishi Aurobindo Memorial Academy.pdf</t>
  </si>
  <si>
    <t>2026-27</t>
  </si>
  <si>
    <t>Hyderabad</t>
  </si>
  <si>
    <t xml:space="preserve">Hyderabad Public School </t>
  </si>
  <si>
    <t>Unless Terminated</t>
  </si>
  <si>
    <t>_</t>
  </si>
  <si>
    <t>Service Agreement_21K School Education - Young Pioneer_Final - signed.pdf</t>
  </si>
  <si>
    <t>as per MOU</t>
  </si>
  <si>
    <t>Karnataka</t>
  </si>
  <si>
    <t>Bangalore</t>
  </si>
  <si>
    <t>21K School Education Private Limited</t>
  </si>
  <si>
    <t>Service Agreement_21K Learning - Young Pioneer_Final (1).pdf</t>
  </si>
  <si>
    <t>21K Learning Private Limited</t>
  </si>
  <si>
    <t>MOU Gopi Birla Memorial School- Mumbai.pdf</t>
  </si>
  <si>
    <t>MTPL/2627/5</t>
  </si>
  <si>
    <t xml:space="preserve">Beginners Level-  student copy  </t>
  </si>
  <si>
    <t>Gopi Birla Memorial School</t>
  </si>
  <si>
    <t>elpro international school-YP.pdf</t>
  </si>
  <si>
    <t>Elpro International School</t>
  </si>
  <si>
    <t>Velammal Group Chennai.pdf</t>
  </si>
  <si>
    <t>MTPL/2627/4</t>
  </si>
  <si>
    <t xml:space="preserve">Chennai </t>
  </si>
  <si>
    <t>Learn Vel Private Limited - (Velammal Global School - Mambakkam)</t>
  </si>
  <si>
    <t>MTPL/2627/3</t>
  </si>
  <si>
    <t>Learn Vel Private Limited - (Velammal Global School - Puzhal)</t>
  </si>
  <si>
    <t>as per email</t>
  </si>
  <si>
    <t>MTPL/2627/2</t>
  </si>
  <si>
    <t>Intermediate Level-  student copy  , 2 teacher copy</t>
  </si>
  <si>
    <t>CHIREC International Academy</t>
  </si>
  <si>
    <t>MTPL/2627/1</t>
  </si>
  <si>
    <t>Delhi</t>
  </si>
  <si>
    <t xml:space="preserve">New Delhi </t>
  </si>
  <si>
    <t>DPS International</t>
  </si>
  <si>
    <t>Payment Received %</t>
  </si>
  <si>
    <t>Balance to be Received</t>
  </si>
  <si>
    <t>TDS</t>
  </si>
  <si>
    <t>Date of Payment received</t>
  </si>
  <si>
    <t>Sales Amount with GST</t>
  </si>
  <si>
    <t>Price with GST</t>
  </si>
  <si>
    <t>Sales Amount w/o GST</t>
  </si>
  <si>
    <t>Price w/o GST</t>
  </si>
  <si>
    <t>Actual No. of Students</t>
  </si>
  <si>
    <t>No of Students as per MOU</t>
  </si>
  <si>
    <t>Termination</t>
  </si>
  <si>
    <t>Academic Year</t>
  </si>
  <si>
    <t>Signing Date</t>
  </si>
  <si>
    <t>MOU Signed</t>
  </si>
  <si>
    <t>Tax Invoice No</t>
  </si>
  <si>
    <t>Grade</t>
  </si>
  <si>
    <t>City</t>
  </si>
  <si>
    <t>YOUNG PIONEER - SALES FY 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</si>
</sst>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_ * #,##0_ ;_ * \-#,##0_ ;_ * &quot;-&quot;??_ ;_ @_ "/>
  </numFmts>
  <fonts count="3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134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34"/>
      <scheme val="minor"/>
    </font>
    <font>
      <sz val="11"/>
      <color rgb="FF000000"/>
      <name val="Aptos"/>
      <family val="2"/>
    </font>
    <font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Aptos"/>
      <family val="2"/>
    </font>
    <font>
      <b/>
      <sz val="1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double">
        <color indexed="64"/>
      </bottom>
      <diagonal/>
    </border>
  </borders>
  <cellStyleXfs count="9">
    <xf numFmtId="0" fontId="0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8" fillId="0" borderId="0"/>
    <xf numFmtId="44" fontId="26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339">
    <xf numFmtId="0" fontId="0" fillId="0" borderId="0" xfId="0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3" fillId="0" borderId="1" xfId="0" applyFont="1" applyBorder="1" applyAlignment="1">
      <alignment horizontal="center" vertical="center" wrapText="1"/>
    </xf>
    <xf numFmtId="0" fontId="12" fillId="0" borderId="1" xfId="0" applyFont="1" applyBorder="1"/>
    <xf numFmtId="0" fontId="13" fillId="0" borderId="0" xfId="0" applyFont="1" applyAlignment="1">
      <alignment horizontal="center"/>
    </xf>
    <xf numFmtId="0" fontId="13" fillId="2" borderId="1" xfId="0" applyFont="1" applyFill="1" applyBorder="1" applyAlignment="1">
      <alignment horizontal="center" vertical="center" wrapText="1"/>
    </xf>
    <xf numFmtId="0" fontId="12" fillId="0" borderId="1" xfId="3" applyNumberFormat="1" applyFont="1" applyFill="1" applyBorder="1"/>
    <xf numFmtId="2" fontId="12" fillId="0" borderId="1" xfId="0" applyNumberFormat="1" applyFont="1" applyBorder="1"/>
    <xf numFmtId="165" fontId="12" fillId="0" borderId="1" xfId="3" applyNumberFormat="1" applyFont="1" applyFill="1" applyBorder="1"/>
    <xf numFmtId="0" fontId="15" fillId="0" borderId="1" xfId="3" applyNumberFormat="1" applyFont="1" applyFill="1" applyBorder="1"/>
    <xf numFmtId="9" fontId="12" fillId="0" borderId="1" xfId="2" applyFont="1" applyFill="1" applyBorder="1"/>
    <xf numFmtId="165" fontId="12" fillId="0" borderId="1" xfId="3" applyNumberFormat="1" applyFont="1" applyFill="1" applyBorder="1" applyAlignment="1">
      <alignment horizontal="center"/>
    </xf>
    <xf numFmtId="20" fontId="12" fillId="0" borderId="0" xfId="0" applyNumberFormat="1" applyFont="1"/>
    <xf numFmtId="165" fontId="12" fillId="0" borderId="0" xfId="0" applyNumberFormat="1" applyFont="1"/>
    <xf numFmtId="43" fontId="12" fillId="0" borderId="0" xfId="0" applyNumberFormat="1" applyFont="1"/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43" fontId="12" fillId="0" borderId="1" xfId="1" applyFont="1" applyFill="1" applyBorder="1"/>
    <xf numFmtId="0" fontId="12" fillId="0" borderId="0" xfId="0" applyFont="1" applyAlignment="1">
      <alignment horizontal="center"/>
    </xf>
    <xf numFmtId="14" fontId="12" fillId="0" borderId="1" xfId="3" quotePrefix="1" applyNumberFormat="1" applyFont="1" applyFill="1" applyBorder="1"/>
    <xf numFmtId="165" fontId="12" fillId="0" borderId="1" xfId="3" quotePrefix="1" applyNumberFormat="1" applyFont="1" applyFill="1" applyBorder="1"/>
    <xf numFmtId="165" fontId="12" fillId="0" borderId="0" xfId="3" applyNumberFormat="1" applyFont="1" applyFill="1" applyBorder="1"/>
    <xf numFmtId="9" fontId="12" fillId="0" borderId="0" xfId="2" applyFont="1" applyFill="1" applyBorder="1"/>
    <xf numFmtId="166" fontId="12" fillId="0" borderId="0" xfId="1" applyNumberFormat="1" applyFont="1"/>
    <xf numFmtId="166" fontId="12" fillId="0" borderId="0" xfId="0" applyNumberFormat="1" applyFont="1"/>
    <xf numFmtId="0" fontId="12" fillId="0" borderId="0" xfId="0" applyFont="1" applyAlignment="1">
      <alignment horizontal="center" vertical="center"/>
    </xf>
    <xf numFmtId="0" fontId="12" fillId="6" borderId="1" xfId="0" applyFont="1" applyFill="1" applyBorder="1"/>
    <xf numFmtId="2" fontId="12" fillId="0" borderId="1" xfId="3" applyNumberFormat="1" applyFont="1" applyFill="1" applyBorder="1"/>
    <xf numFmtId="0" fontId="12" fillId="0" borderId="1" xfId="0" applyFont="1" applyBorder="1" applyAlignment="1">
      <alignment horizontal="center"/>
    </xf>
    <xf numFmtId="165" fontId="12" fillId="6" borderId="1" xfId="3" applyNumberFormat="1" applyFont="1" applyFill="1" applyBorder="1"/>
    <xf numFmtId="164" fontId="12" fillId="6" borderId="1" xfId="3" applyFont="1" applyFill="1" applyBorder="1"/>
    <xf numFmtId="165" fontId="12" fillId="6" borderId="1" xfId="3" applyNumberFormat="1" applyFont="1" applyFill="1" applyBorder="1" applyAlignment="1">
      <alignment horizontal="center"/>
    </xf>
    <xf numFmtId="14" fontId="12" fillId="0" borderId="1" xfId="3" quotePrefix="1" applyNumberFormat="1" applyFont="1" applyFill="1" applyBorder="1" applyAlignment="1">
      <alignment horizontal="left"/>
    </xf>
    <xf numFmtId="14" fontId="12" fillId="6" borderId="1" xfId="3" quotePrefix="1" applyNumberFormat="1" applyFont="1" applyFill="1" applyBorder="1"/>
    <xf numFmtId="165" fontId="12" fillId="0" borderId="1" xfId="3" quotePrefix="1" applyNumberFormat="1" applyFont="1" applyFill="1" applyBorder="1" applyAlignment="1">
      <alignment horizontal="left"/>
    </xf>
    <xf numFmtId="0" fontId="17" fillId="0" borderId="1" xfId="0" applyFont="1" applyBorder="1"/>
    <xf numFmtId="0" fontId="13" fillId="0" borderId="1" xfId="0" applyFont="1" applyBorder="1" applyAlignment="1">
      <alignment horizontal="center"/>
    </xf>
    <xf numFmtId="0" fontId="0" fillId="0" borderId="1" xfId="0" applyBorder="1"/>
    <xf numFmtId="164" fontId="12" fillId="0" borderId="1" xfId="3" applyFont="1" applyFill="1" applyBorder="1"/>
    <xf numFmtId="0" fontId="14" fillId="0" borderId="0" xfId="0" applyFont="1" applyAlignment="1">
      <alignment horizontal="center"/>
    </xf>
    <xf numFmtId="0" fontId="12" fillId="6" borderId="1" xfId="0" applyFont="1" applyFill="1" applyBorder="1" applyAlignment="1">
      <alignment horizontal="center"/>
    </xf>
    <xf numFmtId="166" fontId="12" fillId="0" borderId="1" xfId="1" applyNumberFormat="1" applyFont="1" applyBorder="1"/>
    <xf numFmtId="166" fontId="12" fillId="0" borderId="1" xfId="1" applyNumberFormat="1" applyFont="1" applyFill="1" applyBorder="1"/>
    <xf numFmtId="10" fontId="12" fillId="0" borderId="1" xfId="2" applyNumberFormat="1" applyFont="1" applyFill="1" applyBorder="1"/>
    <xf numFmtId="0" fontId="11" fillId="0" borderId="1" xfId="3" applyNumberFormat="1" applyFont="1" applyFill="1" applyBorder="1"/>
    <xf numFmtId="17" fontId="12" fillId="0" borderId="0" xfId="2" applyNumberFormat="1" applyFont="1" applyFill="1" applyBorder="1"/>
    <xf numFmtId="165" fontId="12" fillId="0" borderId="0" xfId="3" quotePrefix="1" applyNumberFormat="1" applyFont="1" applyFill="1" applyBorder="1"/>
    <xf numFmtId="165" fontId="13" fillId="0" borderId="1" xfId="3" applyNumberFormat="1" applyFont="1" applyFill="1" applyBorder="1"/>
    <xf numFmtId="20" fontId="12" fillId="0" borderId="1" xfId="0" applyNumberFormat="1" applyFont="1" applyBorder="1"/>
    <xf numFmtId="0" fontId="13" fillId="0" borderId="1" xfId="0" applyFont="1" applyBorder="1" applyAlignment="1">
      <alignment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wrapText="1"/>
    </xf>
    <xf numFmtId="0" fontId="12" fillId="0" borderId="1" xfId="0" applyFont="1" applyBorder="1" applyAlignment="1">
      <alignment wrapText="1"/>
    </xf>
    <xf numFmtId="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165" fontId="12" fillId="0" borderId="1" xfId="3" quotePrefix="1" applyNumberFormat="1" applyFont="1" applyFill="1" applyBorder="1" applyAlignment="1">
      <alignment horizontal="center"/>
    </xf>
    <xf numFmtId="0" fontId="11" fillId="0" borderId="1" xfId="0" applyFont="1" applyBorder="1"/>
    <xf numFmtId="165" fontId="12" fillId="0" borderId="1" xfId="0" applyNumberFormat="1" applyFont="1" applyBorder="1"/>
    <xf numFmtId="10" fontId="12" fillId="0" borderId="0" xfId="2" applyNumberFormat="1" applyFont="1"/>
    <xf numFmtId="2" fontId="12" fillId="0" borderId="1" xfId="1" applyNumberFormat="1" applyFont="1" applyFill="1" applyBorder="1"/>
    <xf numFmtId="0" fontId="12" fillId="0" borderId="1" xfId="1" applyNumberFormat="1" applyFont="1" applyFill="1" applyBorder="1"/>
    <xf numFmtId="0" fontId="12" fillId="0" borderId="0" xfId="0" applyFont="1" applyAlignment="1">
      <alignment wrapText="1"/>
    </xf>
    <xf numFmtId="165" fontId="12" fillId="0" borderId="0" xfId="3" applyNumberFormat="1" applyFont="1" applyFill="1" applyBorder="1" applyAlignment="1">
      <alignment horizontal="center"/>
    </xf>
    <xf numFmtId="165" fontId="12" fillId="0" borderId="0" xfId="3" quotePrefix="1" applyNumberFormat="1" applyFont="1" applyFill="1" applyBorder="1" applyAlignment="1">
      <alignment horizontal="left"/>
    </xf>
    <xf numFmtId="10" fontId="12" fillId="0" borderId="0" xfId="2" applyNumberFormat="1" applyFont="1" applyFill="1" applyBorder="1"/>
    <xf numFmtId="14" fontId="12" fillId="0" borderId="0" xfId="3" quotePrefix="1" applyNumberFormat="1" applyFont="1" applyFill="1" applyBorder="1" applyAlignment="1">
      <alignment horizontal="left"/>
    </xf>
    <xf numFmtId="165" fontId="12" fillId="0" borderId="4" xfId="3" applyNumberFormat="1" applyFont="1" applyFill="1" applyBorder="1"/>
    <xf numFmtId="0" fontId="12" fillId="0" borderId="6" xfId="0" applyFont="1" applyBorder="1"/>
    <xf numFmtId="165" fontId="12" fillId="0" borderId="2" xfId="3" applyNumberFormat="1" applyFont="1" applyFill="1" applyBorder="1"/>
    <xf numFmtId="0" fontId="12" fillId="8" borderId="1" xfId="0" applyFont="1" applyFill="1" applyBorder="1"/>
    <xf numFmtId="166" fontId="0" fillId="0" borderId="1" xfId="1" applyNumberFormat="1" applyFont="1" applyBorder="1"/>
    <xf numFmtId="0" fontId="12" fillId="0" borderId="1" xfId="0" applyFont="1" applyBorder="1" applyAlignment="1">
      <alignment horizontal="right"/>
    </xf>
    <xf numFmtId="43" fontId="12" fillId="0" borderId="1" xfId="1" applyFont="1" applyBorder="1" applyAlignment="1">
      <alignment horizontal="right"/>
    </xf>
    <xf numFmtId="166" fontId="12" fillId="0" borderId="1" xfId="1" applyNumberFormat="1" applyFont="1" applyBorder="1" applyAlignment="1">
      <alignment horizontal="right"/>
    </xf>
    <xf numFmtId="164" fontId="12" fillId="0" borderId="0" xfId="3" applyFont="1" applyFill="1" applyBorder="1"/>
    <xf numFmtId="0" fontId="18" fillId="0" borderId="1" xfId="0" applyFont="1" applyBorder="1"/>
    <xf numFmtId="9" fontId="12" fillId="0" borderId="1" xfId="0" applyNumberFormat="1" applyFont="1" applyBorder="1"/>
    <xf numFmtId="17" fontId="12" fillId="0" borderId="1" xfId="0" applyNumberFormat="1" applyFont="1" applyBorder="1"/>
    <xf numFmtId="0" fontId="0" fillId="0" borderId="7" xfId="0" applyBorder="1"/>
    <xf numFmtId="43" fontId="0" fillId="0" borderId="0" xfId="1" applyFont="1"/>
    <xf numFmtId="43" fontId="0" fillId="0" borderId="7" xfId="1" applyFont="1" applyBorder="1"/>
    <xf numFmtId="43" fontId="19" fillId="0" borderId="0" xfId="1" applyFont="1"/>
    <xf numFmtId="0" fontId="10" fillId="0" borderId="0" xfId="0" applyFont="1"/>
    <xf numFmtId="0" fontId="10" fillId="0" borderId="0" xfId="0" quotePrefix="1" applyFont="1"/>
    <xf numFmtId="0" fontId="10" fillId="0" borderId="0" xfId="0" applyFont="1" applyAlignment="1">
      <alignment horizontal="right"/>
    </xf>
    <xf numFmtId="43" fontId="0" fillId="0" borderId="0" xfId="0" applyNumberFormat="1"/>
    <xf numFmtId="166" fontId="0" fillId="0" borderId="0" xfId="0" applyNumberFormat="1"/>
    <xf numFmtId="0" fontId="19" fillId="0" borderId="0" xfId="0" applyFont="1"/>
    <xf numFmtId="0" fontId="19" fillId="0" borderId="1" xfId="0" applyFont="1" applyBorder="1"/>
    <xf numFmtId="43" fontId="19" fillId="0" borderId="1" xfId="0" applyNumberFormat="1" applyFont="1" applyBorder="1"/>
    <xf numFmtId="43" fontId="0" fillId="0" borderId="9" xfId="0" applyNumberFormat="1" applyBorder="1"/>
    <xf numFmtId="43" fontId="0" fillId="0" borderId="10" xfId="0" applyNumberFormat="1" applyBorder="1"/>
    <xf numFmtId="43" fontId="19" fillId="0" borderId="11" xfId="0" applyNumberFormat="1" applyFont="1" applyBorder="1"/>
    <xf numFmtId="0" fontId="0" fillId="0" borderId="2" xfId="0" applyBorder="1"/>
    <xf numFmtId="0" fontId="10" fillId="0" borderId="12" xfId="0" applyFont="1" applyBorder="1"/>
    <xf numFmtId="0" fontId="19" fillId="0" borderId="12" xfId="0" applyFont="1" applyBorder="1"/>
    <xf numFmtId="0" fontId="10" fillId="0" borderId="3" xfId="0" applyFont="1" applyBorder="1"/>
    <xf numFmtId="0" fontId="10" fillId="0" borderId="7" xfId="0" applyFont="1" applyBorder="1"/>
    <xf numFmtId="0" fontId="10" fillId="0" borderId="8" xfId="0" applyFont="1" applyBorder="1"/>
    <xf numFmtId="166" fontId="0" fillId="0" borderId="8" xfId="1" applyNumberFormat="1" applyFont="1" applyBorder="1"/>
    <xf numFmtId="166" fontId="19" fillId="0" borderId="0" xfId="1" applyNumberFormat="1" applyFont="1"/>
    <xf numFmtId="43" fontId="0" fillId="0" borderId="12" xfId="0" applyNumberFormat="1" applyBorder="1"/>
    <xf numFmtId="43" fontId="0" fillId="0" borderId="3" xfId="0" applyNumberFormat="1" applyBorder="1"/>
    <xf numFmtId="0" fontId="19" fillId="0" borderId="6" xfId="0" applyFont="1" applyBorder="1"/>
    <xf numFmtId="0" fontId="13" fillId="2" borderId="4" xfId="0" applyFont="1" applyFill="1" applyBorder="1" applyAlignment="1">
      <alignment horizontal="center"/>
    </xf>
    <xf numFmtId="0" fontId="13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9" fontId="12" fillId="0" borderId="0" xfId="0" applyNumberFormat="1" applyFont="1" applyAlignment="1">
      <alignment vertical="center" wrapText="1"/>
    </xf>
    <xf numFmtId="166" fontId="12" fillId="0" borderId="0" xfId="1" applyNumberFormat="1" applyFont="1" applyBorder="1"/>
    <xf numFmtId="0" fontId="12" fillId="0" borderId="1" xfId="0" quotePrefix="1" applyFont="1" applyBorder="1"/>
    <xf numFmtId="0" fontId="12" fillId="0" borderId="1" xfId="2" applyNumberFormat="1" applyFont="1" applyFill="1" applyBorder="1"/>
    <xf numFmtId="14" fontId="12" fillId="0" borderId="0" xfId="3" quotePrefix="1" applyNumberFormat="1" applyFont="1" applyFill="1" applyBorder="1"/>
    <xf numFmtId="43" fontId="12" fillId="0" borderId="0" xfId="1" applyFont="1"/>
    <xf numFmtId="14" fontId="0" fillId="0" borderId="1" xfId="0" applyNumberFormat="1" applyBorder="1"/>
    <xf numFmtId="0" fontId="9" fillId="0" borderId="1" xfId="0" applyFont="1" applyBorder="1"/>
    <xf numFmtId="14" fontId="9" fillId="0" borderId="1" xfId="0" applyNumberFormat="1" applyFont="1" applyBorder="1"/>
    <xf numFmtId="166" fontId="9" fillId="0" borderId="1" xfId="1" applyNumberFormat="1" applyFont="1" applyBorder="1"/>
    <xf numFmtId="166" fontId="12" fillId="0" borderId="0" xfId="1" applyNumberFormat="1" applyFont="1" applyFill="1" applyBorder="1"/>
    <xf numFmtId="165" fontId="12" fillId="7" borderId="1" xfId="3" applyNumberFormat="1" applyFont="1" applyFill="1" applyBorder="1" applyAlignment="1">
      <alignment horizontal="center"/>
    </xf>
    <xf numFmtId="0" fontId="12" fillId="0" borderId="0" xfId="0" quotePrefix="1" applyFont="1"/>
    <xf numFmtId="9" fontId="12" fillId="0" borderId="0" xfId="0" applyNumberFormat="1" applyFont="1"/>
    <xf numFmtId="0" fontId="12" fillId="9" borderId="0" xfId="0" applyFont="1" applyFill="1"/>
    <xf numFmtId="0" fontId="12" fillId="10" borderId="0" xfId="0" applyFont="1" applyFill="1"/>
    <xf numFmtId="0" fontId="12" fillId="11" borderId="0" xfId="0" applyFont="1" applyFill="1"/>
    <xf numFmtId="165" fontId="12" fillId="0" borderId="3" xfId="3" applyNumberFormat="1" applyFont="1" applyFill="1" applyBorder="1"/>
    <xf numFmtId="2" fontId="12" fillId="0" borderId="0" xfId="0" applyNumberFormat="1" applyFont="1"/>
    <xf numFmtId="0" fontId="12" fillId="7" borderId="0" xfId="0" applyFont="1" applyFill="1"/>
    <xf numFmtId="0" fontId="13" fillId="0" borderId="4" xfId="0" applyFont="1" applyBorder="1" applyAlignment="1">
      <alignment horizontal="center" vertical="center" wrapText="1"/>
    </xf>
    <xf numFmtId="165" fontId="12" fillId="0" borderId="4" xfId="3" applyNumberFormat="1" applyFont="1" applyFill="1" applyBorder="1" applyAlignment="1">
      <alignment horizontal="center"/>
    </xf>
    <xf numFmtId="9" fontId="12" fillId="0" borderId="6" xfId="2" applyFont="1" applyFill="1" applyBorder="1"/>
    <xf numFmtId="9" fontId="12" fillId="0" borderId="0" xfId="2" applyFont="1" applyFill="1" applyBorder="1" applyAlignment="1">
      <alignment horizontal="center"/>
    </xf>
    <xf numFmtId="165" fontId="12" fillId="7" borderId="0" xfId="3" applyNumberFormat="1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 vertical="center" wrapText="1"/>
    </xf>
    <xf numFmtId="9" fontId="12" fillId="0" borderId="1" xfId="2" applyFont="1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wrapText="1"/>
    </xf>
    <xf numFmtId="0" fontId="20" fillId="0" borderId="1" xfId="3" applyNumberFormat="1" applyFont="1" applyBorder="1"/>
    <xf numFmtId="2" fontId="17" fillId="0" borderId="1" xfId="0" applyNumberFormat="1" applyFont="1" applyBorder="1"/>
    <xf numFmtId="165" fontId="17" fillId="0" borderId="1" xfId="3" applyNumberFormat="1" applyFont="1" applyBorder="1"/>
    <xf numFmtId="0" fontId="17" fillId="0" borderId="1" xfId="0" applyFont="1" applyBorder="1" applyAlignment="1">
      <alignment horizontal="center"/>
    </xf>
    <xf numFmtId="0" fontId="17" fillId="0" borderId="1" xfId="3" applyNumberFormat="1" applyFont="1" applyBorder="1"/>
    <xf numFmtId="166" fontId="17" fillId="0" borderId="1" xfId="1" applyNumberFormat="1" applyFont="1" applyBorder="1"/>
    <xf numFmtId="165" fontId="13" fillId="0" borderId="1" xfId="3" quotePrefix="1" applyNumberFormat="1" applyFont="1" applyFill="1" applyBorder="1"/>
    <xf numFmtId="0" fontId="21" fillId="0" borderId="0" xfId="0" applyFont="1"/>
    <xf numFmtId="0" fontId="13" fillId="0" borderId="2" xfId="0" applyFont="1" applyBorder="1" applyAlignment="1">
      <alignment horizontal="center" vertical="center" wrapText="1"/>
    </xf>
    <xf numFmtId="0" fontId="21" fillId="0" borderId="2" xfId="0" applyFont="1" applyBorder="1"/>
    <xf numFmtId="0" fontId="12" fillId="0" borderId="2" xfId="0" applyFont="1" applyBorder="1" applyAlignment="1">
      <alignment horizontal="center"/>
    </xf>
    <xf numFmtId="0" fontId="12" fillId="0" borderId="2" xfId="0" applyFont="1" applyBorder="1"/>
    <xf numFmtId="165" fontId="12" fillId="0" borderId="2" xfId="3" applyNumberFormat="1" applyFont="1" applyFill="1" applyBorder="1" applyAlignment="1">
      <alignment horizontal="center"/>
    </xf>
    <xf numFmtId="165" fontId="12" fillId="0" borderId="13" xfId="3" applyNumberFormat="1" applyFont="1" applyFill="1" applyBorder="1" applyAlignment="1">
      <alignment horizontal="center"/>
    </xf>
    <xf numFmtId="9" fontId="12" fillId="0" borderId="2" xfId="2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2" fillId="0" borderId="3" xfId="0" applyFont="1" applyBorder="1"/>
    <xf numFmtId="0" fontId="12" fillId="0" borderId="3" xfId="0" applyFont="1" applyBorder="1" applyAlignment="1">
      <alignment horizontal="center"/>
    </xf>
    <xf numFmtId="0" fontId="20" fillId="0" borderId="3" xfId="3" applyNumberFormat="1" applyFont="1" applyBorder="1"/>
    <xf numFmtId="2" fontId="17" fillId="0" borderId="3" xfId="0" applyNumberFormat="1" applyFont="1" applyBorder="1"/>
    <xf numFmtId="165" fontId="17" fillId="0" borderId="3" xfId="3" applyNumberFormat="1" applyFont="1" applyBorder="1"/>
    <xf numFmtId="165" fontId="12" fillId="0" borderId="3" xfId="3" applyNumberFormat="1" applyFont="1" applyFill="1" applyBorder="1" applyAlignment="1">
      <alignment horizontal="center"/>
    </xf>
    <xf numFmtId="9" fontId="12" fillId="0" borderId="3" xfId="2" applyFont="1" applyFill="1" applyBorder="1" applyAlignment="1">
      <alignment horizontal="center"/>
    </xf>
    <xf numFmtId="9" fontId="12" fillId="0" borderId="3" xfId="2" applyFont="1" applyFill="1" applyBorder="1"/>
    <xf numFmtId="14" fontId="12" fillId="0" borderId="3" xfId="3" quotePrefix="1" applyNumberFormat="1" applyFont="1" applyFill="1" applyBorder="1"/>
    <xf numFmtId="9" fontId="12" fillId="0" borderId="10" xfId="2" applyFont="1" applyFill="1" applyBorder="1"/>
    <xf numFmtId="165" fontId="12" fillId="0" borderId="3" xfId="3" quotePrefix="1" applyNumberFormat="1" applyFont="1" applyFill="1" applyBorder="1"/>
    <xf numFmtId="0" fontId="14" fillId="0" borderId="1" xfId="0" applyFont="1" applyBorder="1" applyAlignment="1">
      <alignment horizontal="center"/>
    </xf>
    <xf numFmtId="165" fontId="13" fillId="0" borderId="1" xfId="0" applyNumberFormat="1" applyFont="1" applyBorder="1"/>
    <xf numFmtId="0" fontId="14" fillId="0" borderId="3" xfId="0" applyFont="1" applyBorder="1" applyAlignment="1">
      <alignment horizontal="center"/>
    </xf>
    <xf numFmtId="0" fontId="12" fillId="0" borderId="3" xfId="3" applyNumberFormat="1" applyFont="1" applyFill="1" applyBorder="1"/>
    <xf numFmtId="164" fontId="12" fillId="0" borderId="3" xfId="3" applyFont="1" applyFill="1" applyBorder="1"/>
    <xf numFmtId="20" fontId="12" fillId="0" borderId="3" xfId="0" applyNumberFormat="1" applyFont="1" applyBorder="1"/>
    <xf numFmtId="17" fontId="12" fillId="0" borderId="3" xfId="0" applyNumberFormat="1" applyFont="1" applyBorder="1"/>
    <xf numFmtId="0" fontId="0" fillId="0" borderId="1" xfId="0" applyBorder="1" applyAlignment="1">
      <alignment horizontal="left"/>
    </xf>
    <xf numFmtId="0" fontId="22" fillId="12" borderId="1" xfId="3" applyNumberFormat="1" applyFont="1" applyFill="1" applyBorder="1" applyAlignment="1"/>
    <xf numFmtId="0" fontId="22" fillId="12" borderId="1" xfId="4" applyFont="1" applyFill="1" applyBorder="1"/>
    <xf numFmtId="0" fontId="23" fillId="13" borderId="1" xfId="0" applyFont="1" applyFill="1" applyBorder="1"/>
    <xf numFmtId="0" fontId="24" fillId="0" borderId="1" xfId="0" applyFont="1" applyBorder="1"/>
    <xf numFmtId="165" fontId="12" fillId="0" borderId="10" xfId="2" applyNumberFormat="1" applyFont="1" applyFill="1" applyBorder="1"/>
    <xf numFmtId="166" fontId="12" fillId="0" borderId="10" xfId="1" applyNumberFormat="1" applyFont="1" applyFill="1" applyBorder="1"/>
    <xf numFmtId="0" fontId="7" fillId="0" borderId="1" xfId="0" applyFont="1" applyBorder="1"/>
    <xf numFmtId="0" fontId="17" fillId="0" borderId="0" xfId="0" applyFont="1"/>
    <xf numFmtId="9" fontId="12" fillId="7" borderId="3" xfId="2" applyFont="1" applyFill="1" applyBorder="1"/>
    <xf numFmtId="165" fontId="12" fillId="7" borderId="3" xfId="3" applyNumberFormat="1" applyFont="1" applyFill="1" applyBorder="1"/>
    <xf numFmtId="17" fontId="12" fillId="7" borderId="3" xfId="0" applyNumberFormat="1" applyFont="1" applyFill="1" applyBorder="1"/>
    <xf numFmtId="14" fontId="12" fillId="7" borderId="3" xfId="3" quotePrefix="1" applyNumberFormat="1" applyFont="1" applyFill="1" applyBorder="1"/>
    <xf numFmtId="166" fontId="12" fillId="0" borderId="3" xfId="1" applyNumberFormat="1" applyFont="1" applyBorder="1"/>
    <xf numFmtId="166" fontId="12" fillId="0" borderId="1" xfId="1" applyNumberFormat="1" applyFont="1" applyFill="1" applyBorder="1" applyAlignment="1">
      <alignment horizontal="right"/>
    </xf>
    <xf numFmtId="0" fontId="17" fillId="14" borderId="2" xfId="0" applyFont="1" applyFill="1" applyBorder="1"/>
    <xf numFmtId="0" fontId="17" fillId="14" borderId="1" xfId="0" applyFont="1" applyFill="1" applyBorder="1"/>
    <xf numFmtId="0" fontId="17" fillId="0" borderId="3" xfId="0" applyFont="1" applyBorder="1"/>
    <xf numFmtId="0" fontId="17" fillId="0" borderId="2" xfId="0" applyFont="1" applyBorder="1"/>
    <xf numFmtId="0" fontId="17" fillId="0" borderId="1" xfId="3" applyNumberFormat="1" applyFont="1" applyBorder="1" applyAlignment="1">
      <alignment horizontal="right"/>
    </xf>
    <xf numFmtId="165" fontId="17" fillId="0" borderId="0" xfId="0" applyNumberFormat="1" applyFont="1"/>
    <xf numFmtId="43" fontId="17" fillId="0" borderId="2" xfId="1" applyFont="1" applyBorder="1"/>
    <xf numFmtId="0" fontId="17" fillId="9" borderId="2" xfId="0" applyFont="1" applyFill="1" applyBorder="1"/>
    <xf numFmtId="0" fontId="25" fillId="0" borderId="3" xfId="0" applyFont="1" applyBorder="1" applyAlignment="1">
      <alignment horizontal="center" vertical="center" wrapText="1"/>
    </xf>
    <xf numFmtId="0" fontId="17" fillId="9" borderId="0" xfId="0" applyFont="1" applyFill="1"/>
    <xf numFmtId="0" fontId="12" fillId="0" borderId="2" xfId="3" applyNumberFormat="1" applyFont="1" applyFill="1" applyBorder="1"/>
    <xf numFmtId="166" fontId="12" fillId="0" borderId="2" xfId="1" applyNumberFormat="1" applyFont="1" applyFill="1" applyBorder="1"/>
    <xf numFmtId="0" fontId="20" fillId="0" borderId="3" xfId="3" applyNumberFormat="1" applyFont="1" applyFill="1" applyBorder="1"/>
    <xf numFmtId="165" fontId="17" fillId="0" borderId="3" xfId="3" applyNumberFormat="1" applyFont="1" applyFill="1" applyBorder="1"/>
    <xf numFmtId="10" fontId="12" fillId="0" borderId="0" xfId="2" applyNumberFormat="1" applyFont="1" applyFill="1"/>
    <xf numFmtId="0" fontId="25" fillId="11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17" fontId="12" fillId="0" borderId="3" xfId="0" quotePrefix="1" applyNumberFormat="1" applyFont="1" applyBorder="1" applyAlignment="1">
      <alignment horizontal="right"/>
    </xf>
    <xf numFmtId="9" fontId="12" fillId="6" borderId="3" xfId="2" applyFont="1" applyFill="1" applyBorder="1"/>
    <xf numFmtId="165" fontId="12" fillId="6" borderId="3" xfId="3" applyNumberFormat="1" applyFont="1" applyFill="1" applyBorder="1"/>
    <xf numFmtId="17" fontId="12" fillId="6" borderId="3" xfId="0" applyNumberFormat="1" applyFont="1" applyFill="1" applyBorder="1"/>
    <xf numFmtId="14" fontId="12" fillId="6" borderId="3" xfId="3" quotePrefix="1" applyNumberFormat="1" applyFont="1" applyFill="1" applyBorder="1"/>
    <xf numFmtId="9" fontId="12" fillId="6" borderId="10" xfId="2" applyFont="1" applyFill="1" applyBorder="1"/>
    <xf numFmtId="165" fontId="12" fillId="6" borderId="3" xfId="3" quotePrefix="1" applyNumberFormat="1" applyFont="1" applyFill="1" applyBorder="1"/>
    <xf numFmtId="165" fontId="12" fillId="6" borderId="10" xfId="3" applyNumberFormat="1" applyFont="1" applyFill="1" applyBorder="1"/>
    <xf numFmtId="20" fontId="12" fillId="6" borderId="1" xfId="0" applyNumberFormat="1" applyFont="1" applyFill="1" applyBorder="1"/>
    <xf numFmtId="14" fontId="12" fillId="0" borderId="1" xfId="3" quotePrefix="1" applyNumberFormat="1" applyFont="1" applyFill="1" applyBorder="1" applyAlignment="1">
      <alignment horizontal="right"/>
    </xf>
    <xf numFmtId="165" fontId="12" fillId="0" borderId="1" xfId="3" quotePrefix="1" applyNumberFormat="1" applyFont="1" applyFill="1" applyBorder="1" applyAlignment="1">
      <alignment horizontal="right"/>
    </xf>
    <xf numFmtId="14" fontId="12" fillId="6" borderId="1" xfId="3" quotePrefix="1" applyNumberFormat="1" applyFont="1" applyFill="1" applyBorder="1" applyAlignment="1">
      <alignment horizontal="left"/>
    </xf>
    <xf numFmtId="0" fontId="6" fillId="0" borderId="1" xfId="0" applyFont="1" applyBorder="1"/>
    <xf numFmtId="9" fontId="12" fillId="9" borderId="3" xfId="2" applyFont="1" applyFill="1" applyBorder="1"/>
    <xf numFmtId="166" fontId="12" fillId="9" borderId="1" xfId="1" applyNumberFormat="1" applyFont="1" applyFill="1" applyBorder="1"/>
    <xf numFmtId="17" fontId="12" fillId="9" borderId="3" xfId="0" applyNumberFormat="1" applyFont="1" applyFill="1" applyBorder="1"/>
    <xf numFmtId="14" fontId="12" fillId="9" borderId="3" xfId="3" quotePrefix="1" applyNumberFormat="1" applyFont="1" applyFill="1" applyBorder="1"/>
    <xf numFmtId="0" fontId="17" fillId="0" borderId="12" xfId="0" applyFont="1" applyBorder="1"/>
    <xf numFmtId="0" fontId="5" fillId="0" borderId="1" xfId="0" applyFont="1" applyBorder="1"/>
    <xf numFmtId="166" fontId="12" fillId="7" borderId="1" xfId="1" applyNumberFormat="1" applyFont="1" applyFill="1" applyBorder="1"/>
    <xf numFmtId="166" fontId="25" fillId="0" borderId="14" xfId="0" applyNumberFormat="1" applyFont="1" applyBorder="1"/>
    <xf numFmtId="166" fontId="13" fillId="0" borderId="14" xfId="0" applyNumberFormat="1" applyFont="1" applyBorder="1"/>
    <xf numFmtId="17" fontId="17" fillId="0" borderId="1" xfId="0" applyNumberFormat="1" applyFont="1" applyBorder="1"/>
    <xf numFmtId="9" fontId="17" fillId="7" borderId="1" xfId="2" applyFont="1" applyFill="1" applyBorder="1"/>
    <xf numFmtId="17" fontId="12" fillId="7" borderId="1" xfId="0" applyNumberFormat="1" applyFont="1" applyFill="1" applyBorder="1"/>
    <xf numFmtId="14" fontId="12" fillId="7" borderId="1" xfId="3" quotePrefix="1" applyNumberFormat="1" applyFont="1" applyFill="1" applyBorder="1" applyAlignment="1">
      <alignment horizontal="left"/>
    </xf>
    <xf numFmtId="9" fontId="12" fillId="9" borderId="1" xfId="2" applyFont="1" applyFill="1" applyBorder="1"/>
    <xf numFmtId="14" fontId="12" fillId="9" borderId="1" xfId="3" quotePrefix="1" applyNumberFormat="1" applyFont="1" applyFill="1" applyBorder="1" applyAlignment="1">
      <alignment horizontal="left"/>
    </xf>
    <xf numFmtId="0" fontId="4" fillId="0" borderId="1" xfId="0" applyFont="1" applyBorder="1"/>
    <xf numFmtId="9" fontId="12" fillId="0" borderId="10" xfId="2" applyFont="1" applyFill="1" applyBorder="1" applyAlignment="1">
      <alignment horizontal="center"/>
    </xf>
    <xf numFmtId="0" fontId="3" fillId="0" borderId="1" xfId="0" applyFont="1" applyBorder="1"/>
    <xf numFmtId="165" fontId="12" fillId="0" borderId="3" xfId="3" quotePrefix="1" applyNumberFormat="1" applyFont="1" applyFill="1" applyBorder="1" applyAlignment="1">
      <alignment horizontal="right"/>
    </xf>
    <xf numFmtId="9" fontId="12" fillId="0" borderId="4" xfId="2" applyFont="1" applyFill="1" applyBorder="1" applyAlignment="1">
      <alignment horizontal="center"/>
    </xf>
    <xf numFmtId="43" fontId="12" fillId="0" borderId="1" xfId="0" applyNumberFormat="1" applyFont="1" applyBorder="1"/>
    <xf numFmtId="43" fontId="12" fillId="0" borderId="1" xfId="5" applyNumberFormat="1" applyFont="1" applyBorder="1"/>
    <xf numFmtId="43" fontId="12" fillId="0" borderId="2" xfId="0" applyNumberFormat="1" applyFont="1" applyBorder="1"/>
    <xf numFmtId="43" fontId="12" fillId="0" borderId="2" xfId="5" applyNumberFormat="1" applyFont="1" applyBorder="1"/>
    <xf numFmtId="165" fontId="12" fillId="0" borderId="2" xfId="0" applyNumberFormat="1" applyFont="1" applyBorder="1"/>
    <xf numFmtId="0" fontId="13" fillId="15" borderId="1" xfId="0" applyFont="1" applyFill="1" applyBorder="1"/>
    <xf numFmtId="166" fontId="12" fillId="0" borderId="1" xfId="5" applyNumberFormat="1" applyFont="1" applyBorder="1"/>
    <xf numFmtId="0" fontId="2" fillId="0" borderId="1" xfId="0" applyFont="1" applyBorder="1"/>
    <xf numFmtId="0" fontId="13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1" xfId="4" applyFont="1" applyBorder="1" applyAlignment="1">
      <alignment vertical="center" wrapText="1"/>
    </xf>
    <xf numFmtId="166" fontId="13" fillId="15" borderId="1" xfId="1" applyNumberFormat="1" applyFont="1" applyFill="1" applyBorder="1"/>
    <xf numFmtId="166" fontId="12" fillId="15" borderId="1" xfId="1" applyNumberFormat="1" applyFont="1" applyFill="1" applyBorder="1"/>
    <xf numFmtId="0" fontId="27" fillId="0" borderId="0" xfId="6"/>
    <xf numFmtId="0" fontId="27" fillId="0" borderId="1" xfId="6" applyBorder="1" applyAlignment="1">
      <alignment horizontal="left"/>
    </xf>
    <xf numFmtId="0" fontId="12" fillId="0" borderId="1" xfId="0" applyFont="1" applyBorder="1" applyAlignment="1">
      <alignment horizontal="left"/>
    </xf>
    <xf numFmtId="0" fontId="1" fillId="0" borderId="0" xfId="7" applyAlignment="1">
      <alignment vertical="center"/>
    </xf>
    <xf numFmtId="0" fontId="1" fillId="0" borderId="0" xfId="7" applyAlignment="1">
      <alignment horizontal="center" vertical="center"/>
    </xf>
    <xf numFmtId="0" fontId="1" fillId="0" borderId="0" xfId="7" applyAlignment="1">
      <alignment horizontal="center" vertical="center" wrapText="1"/>
    </xf>
    <xf numFmtId="0" fontId="1" fillId="0" borderId="0" xfId="7" applyAlignment="1">
      <alignment vertical="center" wrapText="1"/>
    </xf>
    <xf numFmtId="166" fontId="1" fillId="0" borderId="0" xfId="7" applyNumberFormat="1" applyAlignment="1">
      <alignment horizontal="center" vertical="center"/>
    </xf>
    <xf numFmtId="166" fontId="19" fillId="0" borderId="0" xfId="8" applyNumberFormat="1" applyFont="1" applyBorder="1" applyAlignment="1">
      <alignment horizontal="center" vertical="center" wrapText="1"/>
    </xf>
    <xf numFmtId="0" fontId="19" fillId="0" borderId="0" xfId="7" applyFont="1" applyAlignment="1">
      <alignment horizontal="center" vertical="center" wrapText="1"/>
    </xf>
    <xf numFmtId="9" fontId="1" fillId="0" borderId="1" xfId="7" applyNumberFormat="1" applyBorder="1" applyAlignment="1">
      <alignment vertical="center"/>
    </xf>
    <xf numFmtId="166" fontId="0" fillId="0" borderId="1" xfId="8" applyNumberFormat="1" applyFont="1" applyBorder="1" applyAlignment="1">
      <alignment horizontal="center" vertical="center"/>
    </xf>
    <xf numFmtId="166" fontId="0" fillId="0" borderId="1" xfId="8" applyNumberFormat="1" applyFont="1" applyFill="1" applyBorder="1" applyAlignment="1">
      <alignment vertical="center"/>
    </xf>
    <xf numFmtId="14" fontId="1" fillId="0" borderId="6" xfId="7" applyNumberFormat="1" applyBorder="1" applyAlignment="1">
      <alignment horizontal="center" vertical="center"/>
    </xf>
    <xf numFmtId="166" fontId="0" fillId="0" borderId="1" xfId="8" applyNumberFormat="1" applyFont="1" applyFill="1" applyBorder="1" applyAlignment="1">
      <alignment horizontal="center" vertical="center"/>
    </xf>
    <xf numFmtId="43" fontId="0" fillId="0" borderId="1" xfId="8" applyFont="1" applyFill="1" applyBorder="1" applyAlignment="1">
      <alignment horizontal="center" vertical="center"/>
    </xf>
    <xf numFmtId="0" fontId="19" fillId="0" borderId="1" xfId="7" applyFont="1" applyBorder="1" applyAlignment="1">
      <alignment vertical="center"/>
    </xf>
    <xf numFmtId="0" fontId="1" fillId="16" borderId="1" xfId="7" applyFill="1" applyBorder="1" applyAlignment="1">
      <alignment vertical="center" wrapText="1"/>
    </xf>
    <xf numFmtId="0" fontId="1" fillId="0" borderId="1" xfId="7" applyBorder="1" applyAlignment="1">
      <alignment horizontal="center" vertical="center" wrapText="1"/>
    </xf>
    <xf numFmtId="0" fontId="1" fillId="0" borderId="4" xfId="7" applyBorder="1" applyAlignment="1">
      <alignment horizontal="center" vertical="center"/>
    </xf>
    <xf numFmtId="14" fontId="1" fillId="0" borderId="1" xfId="7" applyNumberFormat="1" applyBorder="1" applyAlignment="1">
      <alignment horizontal="center" vertical="center"/>
    </xf>
    <xf numFmtId="0" fontId="1" fillId="0" borderId="1" xfId="7" applyBorder="1" applyAlignment="1">
      <alignment horizontal="center" vertical="center"/>
    </xf>
    <xf numFmtId="0" fontId="1" fillId="0" borderId="1" xfId="7" applyBorder="1" applyAlignment="1">
      <alignment vertical="center" wrapText="1"/>
    </xf>
    <xf numFmtId="0" fontId="1" fillId="0" borderId="1" xfId="7" applyBorder="1" applyAlignment="1">
      <alignment vertical="center"/>
    </xf>
    <xf numFmtId="9" fontId="1" fillId="0" borderId="2" xfId="7" applyNumberFormat="1" applyBorder="1" applyAlignment="1">
      <alignment vertical="center"/>
    </xf>
    <xf numFmtId="166" fontId="0" fillId="0" borderId="2" xfId="8" applyNumberFormat="1" applyFont="1" applyBorder="1" applyAlignment="1">
      <alignment horizontal="center" vertical="center"/>
    </xf>
    <xf numFmtId="166" fontId="0" fillId="0" borderId="2" xfId="8" applyNumberFormat="1" applyFont="1" applyFill="1" applyBorder="1" applyAlignment="1">
      <alignment vertical="center"/>
    </xf>
    <xf numFmtId="14" fontId="1" fillId="0" borderId="2" xfId="7" applyNumberFormat="1" applyBorder="1" applyAlignment="1">
      <alignment horizontal="center" vertical="center"/>
    </xf>
    <xf numFmtId="166" fontId="0" fillId="0" borderId="2" xfId="8" applyNumberFormat="1" applyFont="1" applyFill="1" applyBorder="1" applyAlignment="1">
      <alignment horizontal="center" vertical="center"/>
    </xf>
    <xf numFmtId="43" fontId="0" fillId="0" borderId="2" xfId="8" applyFont="1" applyFill="1" applyBorder="1" applyAlignment="1">
      <alignment horizontal="center" vertical="center"/>
    </xf>
    <xf numFmtId="0" fontId="19" fillId="0" borderId="2" xfId="7" applyFont="1" applyBorder="1" applyAlignment="1">
      <alignment vertical="center"/>
    </xf>
    <xf numFmtId="0" fontId="1" fillId="0" borderId="2" xfId="7" applyBorder="1" applyAlignment="1">
      <alignment vertical="center" wrapText="1"/>
    </xf>
    <xf numFmtId="0" fontId="1" fillId="0" borderId="2" xfId="7" applyBorder="1" applyAlignment="1">
      <alignment horizontal="center" vertical="center" wrapText="1"/>
    </xf>
    <xf numFmtId="0" fontId="1" fillId="0" borderId="2" xfId="7" applyBorder="1" applyAlignment="1">
      <alignment horizontal="center" vertical="center"/>
    </xf>
    <xf numFmtId="0" fontId="1" fillId="0" borderId="2" xfId="7" applyBorder="1" applyAlignment="1">
      <alignment vertical="center"/>
    </xf>
    <xf numFmtId="0" fontId="28" fillId="0" borderId="1" xfId="7" applyFont="1" applyBorder="1"/>
    <xf numFmtId="166" fontId="1" fillId="0" borderId="0" xfId="7" applyNumberFormat="1" applyAlignment="1">
      <alignment vertical="center"/>
    </xf>
    <xf numFmtId="0" fontId="19" fillId="0" borderId="1" xfId="7" applyFont="1" applyBorder="1" applyAlignment="1">
      <alignment horizontal="center" vertical="center" wrapText="1"/>
    </xf>
    <xf numFmtId="0" fontId="29" fillId="0" borderId="0" xfId="7" applyFont="1"/>
    <xf numFmtId="0" fontId="19" fillId="0" borderId="0" xfId="7" applyFont="1" applyAlignment="1">
      <alignment vertical="center"/>
    </xf>
    <xf numFmtId="0" fontId="27" fillId="0" borderId="1" xfId="6" applyBorder="1" applyAlignment="1">
      <alignment horizontal="left" vertical="center"/>
    </xf>
    <xf numFmtId="9" fontId="17" fillId="0" borderId="2" xfId="2" applyFont="1" applyBorder="1" applyAlignment="1">
      <alignment horizontal="center"/>
    </xf>
    <xf numFmtId="9" fontId="17" fillId="0" borderId="12" xfId="2" applyFont="1" applyBorder="1" applyAlignment="1">
      <alignment horizontal="center"/>
    </xf>
    <xf numFmtId="9" fontId="17" fillId="0" borderId="3" xfId="2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/>
    </xf>
    <xf numFmtId="0" fontId="13" fillId="0" borderId="4" xfId="4" applyFont="1" applyBorder="1" applyAlignment="1">
      <alignment horizontal="center" vertical="center"/>
    </xf>
    <xf numFmtId="0" fontId="13" fillId="0" borderId="5" xfId="4" applyFont="1" applyBorder="1" applyAlignment="1">
      <alignment horizontal="center" vertical="center"/>
    </xf>
    <xf numFmtId="0" fontId="13" fillId="0" borderId="6" xfId="4" applyFont="1" applyBorder="1" applyAlignment="1">
      <alignment horizontal="center" vertical="center"/>
    </xf>
    <xf numFmtId="0" fontId="25" fillId="11" borderId="7" xfId="0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wrapText="1"/>
    </xf>
    <xf numFmtId="165" fontId="12" fillId="0" borderId="1" xfId="0" applyNumberFormat="1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165" fontId="12" fillId="0" borderId="2" xfId="3" applyNumberFormat="1" applyFont="1" applyFill="1" applyBorder="1" applyAlignment="1">
      <alignment horizontal="center" vertical="center"/>
    </xf>
    <xf numFmtId="165" fontId="12" fillId="0" borderId="3" xfId="3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/>
    </xf>
    <xf numFmtId="165" fontId="12" fillId="0" borderId="1" xfId="3" applyNumberFormat="1" applyFont="1" applyFill="1" applyBorder="1" applyAlignment="1">
      <alignment horizontal="center" wrapText="1"/>
    </xf>
    <xf numFmtId="165" fontId="12" fillId="0" borderId="2" xfId="3" applyNumberFormat="1" applyFont="1" applyFill="1" applyBorder="1" applyAlignment="1">
      <alignment horizontal="right" vertical="center"/>
    </xf>
    <xf numFmtId="165" fontId="12" fillId="0" borderId="3" xfId="3" applyNumberFormat="1" applyFont="1" applyFill="1" applyBorder="1" applyAlignment="1">
      <alignment horizontal="right" vertical="center"/>
    </xf>
    <xf numFmtId="165" fontId="12" fillId="0" borderId="12" xfId="3" applyNumberFormat="1" applyFont="1" applyFill="1" applyBorder="1" applyAlignment="1">
      <alignment horizontal="center" vertical="center"/>
    </xf>
    <xf numFmtId="165" fontId="12" fillId="0" borderId="2" xfId="0" applyNumberFormat="1" applyFont="1" applyBorder="1" applyAlignment="1">
      <alignment horizontal="right" vertical="center"/>
    </xf>
    <xf numFmtId="165" fontId="12" fillId="0" borderId="3" xfId="0" applyNumberFormat="1" applyFont="1" applyBorder="1" applyAlignment="1">
      <alignment horizontal="right" vertical="center"/>
    </xf>
    <xf numFmtId="0" fontId="13" fillId="2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7" xfId="0" applyFont="1" applyBorder="1" applyAlignment="1">
      <alignment horizontal="center"/>
    </xf>
    <xf numFmtId="165" fontId="12" fillId="0" borderId="1" xfId="3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13" fillId="3" borderId="6" xfId="0" applyFont="1" applyFill="1" applyBorder="1" applyAlignment="1">
      <alignment horizontal="center"/>
    </xf>
  </cellXfs>
  <cellStyles count="9">
    <cellStyle name="Comma" xfId="1" builtinId="3"/>
    <cellStyle name="Comma 2" xfId="3" xr:uid="{00000000-0005-0000-0000-000031000000}"/>
    <cellStyle name="Comma 3" xfId="8" xr:uid="{EADBC49B-49BD-4043-9BB2-8C4A5933E4E8}"/>
    <cellStyle name="Currency" xfId="5" builtinId="4"/>
    <cellStyle name="Hyperlink" xfId="6" builtinId="8"/>
    <cellStyle name="Normal" xfId="0" builtinId="0"/>
    <cellStyle name="Normal 2" xfId="4" xr:uid="{A96AE794-4C55-4998-8827-B239164D9446}"/>
    <cellStyle name="Normal 3" xfId="7" xr:uid="{DF6A7AD3-C30E-4A41-A946-A8DB2CD76324}"/>
    <cellStyle name="Percent" xfId="2" builtinId="5"/>
  </cellStyles>
  <dxfs count="3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Financials/MIS/26-27/Summary%20Data/STEM%20Summary/Core%20Division%20-%20%20Summary.xlsx" TargetMode="External"/><Relationship Id="rId2" Type="http://schemas.openxmlformats.org/officeDocument/2006/relationships/externalLinkPath" Target="https://maftechnologies-my.sharepoint.com/personal/ujaccounts_getsetlearn_info/Documents/MTPL/Financials/MIS/26-27/Summary%20Data/STEM%20Summary/Core%20Division%20-%20%20Summary.xlsx" TargetMode="External"/><Relationship Id="rId1" Type="http://schemas.openxmlformats.org/officeDocument/2006/relationships/externalLinkPath" Target="/personal/ujaccounts_getsetlearn_info/Documents/MTPL/Financials/MIS/26-27/Summary%20Data/STEM%20Summary/Core%20Division%20-%20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ummary"/>
      <sheetName val="MOU Summary - 26-27"/>
      <sheetName val="MOU Summary - 25-26"/>
      <sheetName val="YP MOU Summary"/>
      <sheetName val="Sales Summary"/>
      <sheetName val="Debtors"/>
      <sheetName val="Inventory"/>
    </sheetNames>
    <sheetDataSet>
      <sheetData sheetId="0" refreshError="1"/>
      <sheetData sheetId="1" refreshError="1"/>
      <sheetData sheetId="2">
        <row r="2">
          <cell r="A2" t="str">
            <v>CORE DIVISION : PRATIK  - SUMMARY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nita Choudhary/GSL" id="{C0E605A5-E792-45E6-8272-AF16CEA687FA}" userId="S::anita.c@getsetlearn.info::597c4271-c186-43db-805d-72610e18b53a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24" dT="2026-03-30T04:39:18.17" personId="{C0E605A5-E792-45E6-8272-AF16CEA687FA}" id="{968D6143-51BA-4491-8937-3D4D478775AD}">
    <text xml:space="preserve">2nd &amp; 3rd year - Rs.1416 
</text>
  </threadedComment>
  <threadedComment ref="R26" dT="2026-04-07T11:53:00.67" personId="{C0E605A5-E792-45E6-8272-AF16CEA687FA}" id="{C1A3D4ED-0D75-4F02-A28F-AA8ACDE898CB}">
    <text xml:space="preserve">Check no of kits 
</text>
  </threadedComment>
  <threadedComment ref="Z56" dT="2026-04-10T09:19:53.16" personId="{C0E605A5-E792-45E6-8272-AF16CEA687FA}" id="{03608D93-8A45-4F0E-8FF3-12BA69B01A79}">
    <text>VEX kits - MTPL/UP/2627/1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5" dT="2025-06-19T05:10:44.36" personId="{C0E605A5-E792-45E6-8272-AF16CEA687FA}" id="{2CF149D2-AB62-46C0-9ECA-29F33C0716C0}">
    <text xml:space="preserve">As per Pratik yes but we didn’t received
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ftechnologies-my.sharepoint.com/:b:/g/personal/ujaccounts_getsetlearn_info/IQBnJ1UpiJ_QQ7P33UwatKULAU7Mq0M-eegfTIMGplGjx80?e=kJQLD9" TargetMode="External"/><Relationship Id="rId18" Type="http://schemas.openxmlformats.org/officeDocument/2006/relationships/hyperlink" Target="https://maftechnologies-my.sharepoint.com/:b:/g/personal/ujaccounts_getsetlearn_info/IQBWXrfvOKb-Qb9Tqa3QD4ubAf4fImSCEvSbwTk94KiEWIc?e=NY4gTO" TargetMode="External"/><Relationship Id="rId26" Type="http://schemas.openxmlformats.org/officeDocument/2006/relationships/hyperlink" Target="https://maftechnologies-my.sharepoint.com/:b:/g/personal/ujaccounts_getsetlearn_info/IQBhg_SsKrn7SLteCITW9ctjAROXeOFR8Sdg1IuNr7vMk-g?e=vvN2hk" TargetMode="External"/><Relationship Id="rId39" Type="http://schemas.openxmlformats.org/officeDocument/2006/relationships/hyperlink" Target="https://maftechnologies-my.sharepoint.com/:b:/g/personal/ujaccounts_getsetlearn_info/IQD5bZIBVVt4TIYAaF-1hQqIAWiZxspcXUbQYJr9LKyUaGA?e=vgcBlD" TargetMode="External"/><Relationship Id="rId21" Type="http://schemas.openxmlformats.org/officeDocument/2006/relationships/hyperlink" Target="https://maftechnologies-my.sharepoint.com/:b:/g/personal/ujaccounts_getsetlearn_info/IQDsShPQ-73qSq3JiWkEYIxmAXJ4_Oi5mTgJ8XShd6WObpo?e=VCsMux" TargetMode="External"/><Relationship Id="rId34" Type="http://schemas.openxmlformats.org/officeDocument/2006/relationships/hyperlink" Target="https://maftechnologies-my.sharepoint.com/:b:/g/personal/ujaccounts_getsetlearn_info/IQA-T29ksztxRbHbAkdkRFrhAX7ORPS-z_BL9cmKqmGJi4Y?e=2F5vRy" TargetMode="External"/><Relationship Id="rId42" Type="http://schemas.openxmlformats.org/officeDocument/2006/relationships/hyperlink" Target="https://maftechnologies-my.sharepoint.com/:b:/g/personal/ujaccounts_getsetlearn_info/IQB1POXNUhN1T5kHwreslSteASM3PVKpO7InlvQI87Cymlw?e=yoXo25" TargetMode="External"/><Relationship Id="rId47" Type="http://schemas.openxmlformats.org/officeDocument/2006/relationships/comments" Target="../comments1.xml"/><Relationship Id="rId7" Type="http://schemas.openxmlformats.org/officeDocument/2006/relationships/hyperlink" Target="https://maftechnologies-my.sharepoint.com/:b:/g/personal/ujaccounts_getsetlearn_info/IQAhxAUM5CEWTbrIi85hTkIXAWqgQbwLQSjjSEoTSgZmM4A?e=slmNRe" TargetMode="External"/><Relationship Id="rId2" Type="http://schemas.openxmlformats.org/officeDocument/2006/relationships/hyperlink" Target="https://maftechnologies-my.sharepoint.com/:b:/g/personal/ujaccounts_getsetlearn_info/IQBj2DhRdO5JSINO1iaV2uB-Ac4y3dAYYPx0OhyqGzqrA_o?e=433fcU" TargetMode="External"/><Relationship Id="rId16" Type="http://schemas.openxmlformats.org/officeDocument/2006/relationships/hyperlink" Target="../../../../../../:f:/g/personal/ujaccounts_getsetlearn_info/IgBhMzQ4SfnMTo9DYwysHsllAYppgZJtrrRtCH-wPNtLMqg?e=zrc62v" TargetMode="External"/><Relationship Id="rId29" Type="http://schemas.openxmlformats.org/officeDocument/2006/relationships/hyperlink" Target="https://maftechnologies-my.sharepoint.com/:b:/g/personal/ujaccounts_getsetlearn_info/IQB7KEhFT7znR6uS09ZRvtx3AaExlE9BoVgjtrMETQ65tV8?e=383RyV" TargetMode="External"/><Relationship Id="rId1" Type="http://schemas.openxmlformats.org/officeDocument/2006/relationships/hyperlink" Target="../../../../../../:f:/g/personal/ujaccounts_getsetlearn_info/IgDztpgltZLoQaMehLndULGnAdj73KGy0hohRDa8vMomgWw?e=GNsRiC" TargetMode="External"/><Relationship Id="rId6" Type="http://schemas.openxmlformats.org/officeDocument/2006/relationships/hyperlink" Target="https://maftechnologies-my.sharepoint.com/:b:/g/personal/ujaccounts_getsetlearn_info/IQCeWvm1SNh2Soj7tUeL6N1UAbBjr996grmJqa4me2PkwNg?e=3lBwma" TargetMode="External"/><Relationship Id="rId11" Type="http://schemas.openxmlformats.org/officeDocument/2006/relationships/hyperlink" Target="https://maftechnologies-my.sharepoint.com/:b:/g/personal/ujaccounts_getsetlearn_info/IQBCnULUlxRWS5yKqzwN-nOPAUSOEUmvDnTbp3SqP3kbuIU?e=hNMGl5" TargetMode="External"/><Relationship Id="rId24" Type="http://schemas.openxmlformats.org/officeDocument/2006/relationships/hyperlink" Target="https://maftechnologies-my.sharepoint.com/:b:/g/personal/ujaccounts_getsetlearn_info/IQCsSJsP9o6bRbmZq7MxT-OwAbP8GY95_1k5qJ4ohie8ZA8?e=lE6cjo" TargetMode="External"/><Relationship Id="rId32" Type="http://schemas.openxmlformats.org/officeDocument/2006/relationships/hyperlink" Target="https://maftechnologies-my.sharepoint.com/:b:/g/personal/ujaccounts_getsetlearn_info/IQCfXtOXg7wUQ6vVnRXDNS8QAY77RxFEnB39TdUG-p7--JQ?e=cSRIWF" TargetMode="External"/><Relationship Id="rId37" Type="http://schemas.openxmlformats.org/officeDocument/2006/relationships/hyperlink" Target="https://maftechnologies-my.sharepoint.com/:b:/g/personal/ujaccounts_getsetlearn_info/IQAXzy3AwpKUQ7nv9EAOr262AYrrzjPhnvAxCRAf2F1WTQQ?e=Sl8imo" TargetMode="External"/><Relationship Id="rId40" Type="http://schemas.openxmlformats.org/officeDocument/2006/relationships/hyperlink" Target="https://maftechnologies-my.sharepoint.com/:b:/g/personal/ujaccounts_getsetlearn_info/IQAjHfIyQSkHTIMQTjKyNUDuAQO8KsJgsfLvSvsESUO8vLk?e=RYODNK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maftechnologies-my.sharepoint.com/:b:/g/personal/ujaccounts_getsetlearn_info/IQCz0b2_vh3aRqlCkdhndNJ4AQNWEhaLuzWLWlomCxn3b5g?e=2u1RlM" TargetMode="External"/><Relationship Id="rId15" Type="http://schemas.openxmlformats.org/officeDocument/2006/relationships/hyperlink" Target="https://maftechnologies-my.sharepoint.com/:b:/g/personal/ujaccounts_getsetlearn_info/IQDgRqOHit9JQos-G8iilrc-AVPXkW9ubIkv06XJO0oeUho?e=O5jtaA" TargetMode="External"/><Relationship Id="rId23" Type="http://schemas.openxmlformats.org/officeDocument/2006/relationships/hyperlink" Target="../../../../../../:f:/g/personal/ujaccounts_getsetlearn_info/IgBVFRb_cjvvQaoUO77n9qrWAbKjtqvoNFlyCFd6QmOdy3Q?e=RjQcID" TargetMode="External"/><Relationship Id="rId28" Type="http://schemas.openxmlformats.org/officeDocument/2006/relationships/hyperlink" Target="https://maftechnologies-my.sharepoint.com/:b:/g/personal/ujaccounts_getsetlearn_info/IQCNc4735FuST64V96GKh1iaASB_uA_5cbpUi2k4TtcJ9tw?e=Ztq16R" TargetMode="External"/><Relationship Id="rId36" Type="http://schemas.openxmlformats.org/officeDocument/2006/relationships/hyperlink" Target="https://maftechnologies-my.sharepoint.com/:b:/g/personal/ujaccounts_getsetlearn_info/IQDEEzaPuBNGQJCZR3vH7j1EAdMsIyXKreI1LWT8Y683Stk?e=SG32Dx" TargetMode="External"/><Relationship Id="rId10" Type="http://schemas.openxmlformats.org/officeDocument/2006/relationships/hyperlink" Target="https://maftechnologies-my.sharepoint.com/:b:/g/personal/ujaccounts_getsetlearn_info/IQDkDD8Sx2YqSYR-kGkbzi3MAUmaRkQudsDmeT16_FTvZzs?e=30UTih" TargetMode="External"/><Relationship Id="rId19" Type="http://schemas.openxmlformats.org/officeDocument/2006/relationships/hyperlink" Target="https://maftechnologies-my.sharepoint.com/:b:/g/personal/ujaccounts_getsetlearn_info/IQCPWGV45ud6T74jx1phqKmCASPimi5gysClwvNU8GiGyV0?e=mLGjb4" TargetMode="External"/><Relationship Id="rId31" Type="http://schemas.openxmlformats.org/officeDocument/2006/relationships/hyperlink" Target="https://maftechnologies-my.sharepoint.com/:b:/g/personal/ujaccounts_getsetlearn_info/IQCorVSSVABmTqsTPJuAbMtRAQu0mAaQ5hj93odnk5jMuV8?e=FXQKvb" TargetMode="External"/><Relationship Id="rId44" Type="http://schemas.openxmlformats.org/officeDocument/2006/relationships/hyperlink" Target="https://maftechnologies-my.sharepoint.com/:b:/g/personal/ujaccounts_getsetlearn_info/IQCN7PyTATT2TZ7C6FxLstSiAfVMKU7FEqbwddEZp2f3jK4?e=TDzdh0" TargetMode="External"/><Relationship Id="rId4" Type="http://schemas.openxmlformats.org/officeDocument/2006/relationships/hyperlink" Target="https://maftechnologies-my.sharepoint.com/:b:/g/personal/ujaccounts_getsetlearn_info/IQBxXu9JLA3ER4nvohXXMKimATtQ4AAOghX6wVQcjHpr6Bs?e=jNj3de" TargetMode="External"/><Relationship Id="rId9" Type="http://schemas.openxmlformats.org/officeDocument/2006/relationships/hyperlink" Target="../../../../../../:f:/g/personal/ujaccounts_getsetlearn_info/IgAlr1DqaxqhTa4GGAtQ_DcmAXtRDCnQlZy4_VQki_zDV6Y?e=N8m7Ga" TargetMode="External"/><Relationship Id="rId14" Type="http://schemas.openxmlformats.org/officeDocument/2006/relationships/hyperlink" Target="../../../../../../:f:/g/personal/ujaccounts_getsetlearn_info/IgDKsmZpFSaWR7WY4LbLXnm8AR2TXeXffM9l94gBjQ58V58?e=hMcNiT" TargetMode="External"/><Relationship Id="rId22" Type="http://schemas.openxmlformats.org/officeDocument/2006/relationships/hyperlink" Target="https://maftechnologies-my.sharepoint.com/:b:/g/personal/ujaccounts_getsetlearn_info/IQB_qhRFJ24vQJX_IWaW3K3SARHwkSlq-dqTeqOyQWoc9jY?e=wG3eEz" TargetMode="External"/><Relationship Id="rId27" Type="http://schemas.openxmlformats.org/officeDocument/2006/relationships/hyperlink" Target="https://maftechnologies-my.sharepoint.com/:b:/g/personal/ujaccounts_getsetlearn_info/IQD9kPS8-24WTZIfeAGktGwJAZ_CagYVXg7xs2VXztrDwkE?e=GSMkBi" TargetMode="External"/><Relationship Id="rId30" Type="http://schemas.openxmlformats.org/officeDocument/2006/relationships/hyperlink" Target="../../../../../../:f:/g/personal/ujaccounts_getsetlearn_info/IgBI_fiv_uaJQ7s32Q0QPf27AXliCtvEWkBkJenHtwoZEk4?e=6uATft" TargetMode="External"/><Relationship Id="rId35" Type="http://schemas.openxmlformats.org/officeDocument/2006/relationships/hyperlink" Target="https://maftechnologies-my.sharepoint.com/:b:/g/personal/ujaccounts_getsetlearn_info/IQBopXD3UBBAQJGCAJ9EexaSAcmAo_3MfzuFsIgu1LiWI9g?e=cTEWAW" TargetMode="External"/><Relationship Id="rId43" Type="http://schemas.openxmlformats.org/officeDocument/2006/relationships/hyperlink" Target="https://maftechnologies-my.sharepoint.com/:b:/g/personal/ujaccounts_getsetlearn_info/IQCxx85vF999Rofy4RJDTBLOAcbGSlHgo33rnA0GYeFiXD8?e=XSh5Ra" TargetMode="External"/><Relationship Id="rId48" Type="http://schemas.microsoft.com/office/2017/10/relationships/threadedComment" Target="../threadedComments/threadedComment1.xml"/><Relationship Id="rId8" Type="http://schemas.openxmlformats.org/officeDocument/2006/relationships/hyperlink" Target="../../../../../../:f:/g/personal/ujaccounts_getsetlearn_info/IgBIq6oyAozRSJg1VR6NzmLCARGX01ZMdbBV-0KGQMnOCd0?e=UvVr8T" TargetMode="External"/><Relationship Id="rId3" Type="http://schemas.openxmlformats.org/officeDocument/2006/relationships/hyperlink" Target="../../../../../../:f:/g/personal/ujaccounts_getsetlearn_info/IgAWPOqVQoI7Qo7fikODfxTGAcavDqHo4ICl027R13A8cQE?e=OY5da6" TargetMode="External"/><Relationship Id="rId12" Type="http://schemas.openxmlformats.org/officeDocument/2006/relationships/hyperlink" Target="https://maftechnologies-my.sharepoint.com/:b:/g/personal/ujaccounts_getsetlearn_info/IQCvRLwBed6aRpsjlqZ-6JDzAezTZzMxo_EstqG622kOAUw?e=afCBW3" TargetMode="External"/><Relationship Id="rId17" Type="http://schemas.openxmlformats.org/officeDocument/2006/relationships/hyperlink" Target="https://maftechnologies-my.sharepoint.com/:b:/g/personal/ujaccounts_getsetlearn_info/IQAKJmMqV5EZS6mtrEbnR9t1AXdKwjUMeo7oNCTIWwgqwDc?e=daFnEt" TargetMode="External"/><Relationship Id="rId25" Type="http://schemas.openxmlformats.org/officeDocument/2006/relationships/hyperlink" Target="https://maftechnologies-my.sharepoint.com/:b:/g/personal/ujaccounts_getsetlearn_info/IQBhg_SsKrn7SLteCITW9ctjAROXeOFR8Sdg1IuNr7vMk-g?e=vvN2hk" TargetMode="External"/><Relationship Id="rId33" Type="http://schemas.openxmlformats.org/officeDocument/2006/relationships/hyperlink" Target="../../../../../../:f:/g/personal/ujaccounts_getsetlearn_info/IgCoAluEn2Y6Spq7iTLvgq11AQD8iG0gIDTVyVm3M90DMH8?e=E22MIC" TargetMode="External"/><Relationship Id="rId38" Type="http://schemas.openxmlformats.org/officeDocument/2006/relationships/hyperlink" Target="https://maftechnologies-my.sharepoint.com/:b:/g/personal/ujaccounts_getsetlearn_info/IQDTyYR7KJH6Qq9heiLLry6dASCcph-x9N4nzEQopbzBeRg?e=ZR1s3X" TargetMode="External"/><Relationship Id="rId46" Type="http://schemas.openxmlformats.org/officeDocument/2006/relationships/vmlDrawing" Target="../drawings/vmlDrawing1.vml"/><Relationship Id="rId20" Type="http://schemas.openxmlformats.org/officeDocument/2006/relationships/hyperlink" Target="https://maftechnologies-my.sharepoint.com/:b:/g/personal/ujaccounts_getsetlearn_info/IQC5CR0alyqfQ5leFo8FDucDAawwYdnACoqOa_8F3QAvZE0?e=fz0JTx" TargetMode="External"/><Relationship Id="rId41" Type="http://schemas.openxmlformats.org/officeDocument/2006/relationships/hyperlink" Target="https://maftechnologies-my.sharepoint.com/:b:/g/personal/ujaccounts_getsetlearn_info/IQDiLqQXtF-QQZqPlWr0WFiTAdX3PoQm91CDJwulsS06YIk?e=W6OTLr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maftechnologies-my.sharepoint.com/:b:/g/personal/ujaccounts_getsetlearn_info/IQCx8xTlGSKwR7FRpGrAG4iTATieLrHPhRw4x3tlGyZFeCo?e=v4cSCN" TargetMode="External"/><Relationship Id="rId2" Type="http://schemas.openxmlformats.org/officeDocument/2006/relationships/hyperlink" Target="https://maftechnologies-my.sharepoint.com/:b:/g/personal/ujaccounts_getsetlearn_info/IQBI5tZakyGgRKGd7K5Sze7BAV4biLy2g_PgXkYUzsgIVho?e=y9shYc" TargetMode="External"/><Relationship Id="rId1" Type="http://schemas.openxmlformats.org/officeDocument/2006/relationships/hyperlink" Target="https://maftechnologies-my.sharepoint.com/:b:/g/personal/ujaccounts_getsetlearn_info/IQBI5tZakyGgRKGd7K5Sze7BAV4biLy2g_PgXkYUzsgIVho?e=y9shYc" TargetMode="External"/><Relationship Id="rId6" Type="http://schemas.openxmlformats.org/officeDocument/2006/relationships/hyperlink" Target="https://maftechnologies-my.sharepoint.com/:b:/g/personal/ujaccounts_getsetlearn_info/IQC1D6mLgNiBTaXZx2Lq7pKaASpVq-ry5OnmiCONxWaa4Gg?e=LFZU7s" TargetMode="External"/><Relationship Id="rId5" Type="http://schemas.openxmlformats.org/officeDocument/2006/relationships/hyperlink" Target="https://maftechnologies-my.sharepoint.com/:b:/g/personal/ujaccounts_getsetlearn_info/IQBpHBEnWg5yRaRb-hARoyesAXv41yqlNXdDL_03UfLINhc?e=IYuEmE" TargetMode="External"/><Relationship Id="rId4" Type="http://schemas.openxmlformats.org/officeDocument/2006/relationships/hyperlink" Target="https://maftechnologies-my.sharepoint.com/:b:/g/personal/ujaccounts_getsetlearn_info/IQAUKlGhiZZORpfFhgwqyyVUAZmsRWV6j4iNpvRK5qzaIM8?e=0XwHQA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G78"/>
  <sheetViews>
    <sheetView showGridLines="0" zoomScale="106" zoomScaleNormal="106" workbookViewId="0">
      <pane xSplit="2" ySplit="4" topLeftCell="F5" activePane="bottomRight" state="frozen"/>
      <selection pane="topRight"/>
      <selection pane="bottomLeft"/>
      <selection pane="bottomRight" activeCell="B72" sqref="B72"/>
    </sheetView>
  </sheetViews>
  <sheetFormatPr defaultColWidth="8.7109375" defaultRowHeight="15"/>
  <cols>
    <col min="1" max="1" width="6" style="1" customWidth="1"/>
    <col min="2" max="2" width="53.85546875" style="1" bestFit="1" customWidth="1"/>
    <col min="3" max="3" width="11" style="21" bestFit="1" customWidth="1"/>
    <col min="4" max="4" width="18.5703125" style="21" bestFit="1" customWidth="1"/>
    <col min="5" max="5" width="19.28515625" style="21" bestFit="1" customWidth="1"/>
    <col min="6" max="6" width="19.85546875" style="21" bestFit="1" customWidth="1"/>
    <col min="7" max="7" width="14.28515625" style="21" bestFit="1" customWidth="1"/>
    <col min="8" max="8" width="62.5703125" style="21" bestFit="1" customWidth="1"/>
    <col min="9" max="9" width="13.28515625" style="21" bestFit="1" customWidth="1"/>
    <col min="10" max="10" width="11.42578125" style="21" bestFit="1" customWidth="1"/>
    <col min="11" max="11" width="38.7109375" style="1" bestFit="1" customWidth="1"/>
    <col min="12" max="12" width="21.5703125" style="1" bestFit="1" customWidth="1"/>
    <col min="13" max="13" width="23.7109375" style="1" bestFit="1" customWidth="1"/>
    <col min="14" max="14" width="27" style="1" bestFit="1" customWidth="1"/>
    <col min="15" max="15" width="21.42578125" style="1" bestFit="1" customWidth="1"/>
    <col min="16" max="16" width="20.5703125" style="1" bestFit="1" customWidth="1"/>
    <col min="17" max="17" width="28.85546875" style="1" bestFit="1" customWidth="1"/>
    <col min="18" max="18" width="19.28515625" style="1" bestFit="1" customWidth="1"/>
    <col min="19" max="19" width="18.85546875" style="1" bestFit="1" customWidth="1"/>
    <col min="20" max="20" width="13.7109375" style="1" bestFit="1" customWidth="1"/>
    <col min="21" max="21" width="16.85546875" style="1" bestFit="1" customWidth="1"/>
    <col min="22" max="22" width="16.7109375" style="1" bestFit="1" customWidth="1"/>
    <col min="23" max="23" width="15.7109375" style="1" bestFit="1" customWidth="1"/>
    <col min="24" max="24" width="5.5703125" style="1" customWidth="1"/>
    <col min="25" max="25" width="14.7109375" style="1" bestFit="1" customWidth="1"/>
    <col min="26" max="26" width="12.85546875" style="1" bestFit="1" customWidth="1"/>
    <col min="27" max="27" width="11.5703125" style="1" bestFit="1" customWidth="1"/>
    <col min="28" max="28" width="13.42578125" style="1" bestFit="1" customWidth="1"/>
    <col min="29" max="29" width="7.140625" style="1" bestFit="1" customWidth="1"/>
    <col min="30" max="30" width="13.85546875" style="1" bestFit="1" customWidth="1"/>
    <col min="31" max="31" width="22.28515625" style="1" bestFit="1" customWidth="1"/>
    <col min="32" max="32" width="31" style="1" bestFit="1" customWidth="1"/>
    <col min="33" max="33" width="7.140625" style="1" bestFit="1" customWidth="1"/>
    <col min="34" max="34" width="12.85546875" style="1" bestFit="1" customWidth="1"/>
    <col min="35" max="35" width="11.5703125" style="1" bestFit="1" customWidth="1"/>
    <col min="36" max="36" width="13.7109375" style="1" bestFit="1" customWidth="1"/>
    <col min="37" max="37" width="7.140625" style="1" bestFit="1" customWidth="1"/>
    <col min="38" max="38" width="12.85546875" style="1" bestFit="1" customWidth="1"/>
    <col min="39" max="39" width="11.5703125" style="1" bestFit="1" customWidth="1"/>
    <col min="40" max="40" width="9.140625" style="1" bestFit="1" customWidth="1"/>
    <col min="41" max="41" width="8.7109375" style="1" customWidth="1"/>
    <col min="42" max="42" width="16.85546875" style="1" customWidth="1"/>
    <col min="43" max="43" width="15.42578125" style="1" customWidth="1"/>
    <col min="44" max="44" width="14.140625" style="1" customWidth="1"/>
    <col min="45" max="45" width="16.85546875" style="1" customWidth="1"/>
    <col min="46" max="46" width="8.7109375" style="1" customWidth="1"/>
    <col min="47" max="47" width="11.42578125" style="1" bestFit="1" customWidth="1"/>
    <col min="48" max="57" width="8.7109375" style="1" customWidth="1"/>
    <col min="58" max="64" width="10.7109375" style="1" customWidth="1"/>
    <col min="65" max="66" width="8.7109375" style="1" customWidth="1"/>
    <col min="67" max="67" width="9.42578125" style="1" customWidth="1"/>
    <col min="68" max="68" width="8.7109375" style="1" customWidth="1"/>
    <col min="69" max="69" width="10" style="1" customWidth="1"/>
    <col min="70" max="70" width="8.7109375" style="1" customWidth="1"/>
    <col min="71" max="71" width="10.42578125" style="1" customWidth="1"/>
    <col min="72" max="72" width="8.7109375" style="1" customWidth="1"/>
    <col min="73" max="75" width="10.28515625" style="1" customWidth="1"/>
    <col min="76" max="76" width="14.85546875" style="1" customWidth="1"/>
    <col min="77" max="77" width="9.7109375" style="1" customWidth="1"/>
    <col min="78" max="78" width="10.7109375" style="1" bestFit="1" customWidth="1"/>
    <col min="79" max="79" width="10.28515625" style="1" bestFit="1" customWidth="1"/>
    <col min="80" max="80" width="13.28515625" style="1" customWidth="1"/>
    <col min="81" max="82" width="10" style="1" bestFit="1" customWidth="1"/>
    <col min="83" max="83" width="10.28515625" style="1" bestFit="1" customWidth="1"/>
    <col min="84" max="84" width="6" style="1" bestFit="1" customWidth="1"/>
    <col min="85" max="85" width="7.7109375" style="1" bestFit="1" customWidth="1"/>
    <col min="86" max="16384" width="8.7109375" style="1"/>
  </cols>
  <sheetData>
    <row r="1" spans="1:85">
      <c r="A1" s="2" t="s">
        <v>0</v>
      </c>
      <c r="G1" s="6"/>
      <c r="H1" s="6"/>
      <c r="I1" s="6"/>
      <c r="J1" s="6"/>
      <c r="K1" s="2"/>
      <c r="L1" s="2"/>
      <c r="N1" s="198"/>
      <c r="O1" s="1" t="s">
        <v>334</v>
      </c>
      <c r="Z1" s="15"/>
      <c r="AA1" s="15"/>
      <c r="AB1" s="15"/>
      <c r="AC1" s="124"/>
      <c r="AD1" s="1" t="s">
        <v>237</v>
      </c>
      <c r="AE1" s="126"/>
      <c r="AF1" s="1" t="s">
        <v>239</v>
      </c>
      <c r="BX1" s="312"/>
      <c r="BY1" s="312"/>
      <c r="BZ1" s="312"/>
      <c r="CA1" s="312"/>
    </row>
    <row r="2" spans="1:85">
      <c r="A2" s="2" t="s">
        <v>258</v>
      </c>
      <c r="B2" s="3"/>
      <c r="C2" s="42"/>
      <c r="D2" s="42"/>
      <c r="E2" s="42"/>
      <c r="F2" s="42"/>
      <c r="N2" s="182"/>
      <c r="Q2" s="128"/>
      <c r="S2" s="16"/>
      <c r="AC2" s="125"/>
      <c r="AD2" s="1" t="s">
        <v>238</v>
      </c>
      <c r="AE2" s="129"/>
      <c r="AF2" s="1" t="s">
        <v>254</v>
      </c>
      <c r="AR2" s="297"/>
      <c r="AS2" s="297"/>
      <c r="AT2" s="297"/>
      <c r="AU2" s="297"/>
      <c r="AV2" s="297"/>
      <c r="AW2" s="297"/>
      <c r="AX2" s="297"/>
      <c r="AY2" s="297"/>
      <c r="AZ2" s="297"/>
      <c r="BA2" s="297"/>
      <c r="BB2" s="297"/>
      <c r="BC2" s="297"/>
      <c r="BY2" s="315"/>
      <c r="BZ2" s="315"/>
      <c r="CA2" s="315"/>
    </row>
    <row r="3" spans="1:85">
      <c r="A3" s="2"/>
      <c r="B3" s="3"/>
      <c r="C3" s="42"/>
      <c r="D3" s="42"/>
      <c r="E3" s="42"/>
      <c r="F3" s="42"/>
      <c r="N3" s="311" t="s">
        <v>333</v>
      </c>
      <c r="O3" s="311"/>
      <c r="Y3" s="299" t="s">
        <v>3</v>
      </c>
      <c r="Z3" s="300"/>
      <c r="AA3" s="300"/>
      <c r="AB3" s="301"/>
      <c r="AC3" s="302" t="s">
        <v>4</v>
      </c>
      <c r="AD3" s="302"/>
      <c r="AE3" s="302"/>
      <c r="AF3" s="303"/>
      <c r="AG3" s="304" t="s">
        <v>5</v>
      </c>
      <c r="AH3" s="305"/>
      <c r="AI3" s="305"/>
      <c r="AJ3" s="306"/>
      <c r="AK3" s="307" t="s">
        <v>6</v>
      </c>
      <c r="AL3" s="307"/>
      <c r="AM3" s="307"/>
      <c r="AN3" s="307"/>
      <c r="AO3" s="21"/>
      <c r="AP3" s="308" t="s">
        <v>370</v>
      </c>
      <c r="AQ3" s="309"/>
      <c r="AR3" s="309"/>
      <c r="AS3" s="310"/>
      <c r="AT3" s="108"/>
      <c r="AU3" s="108"/>
      <c r="AV3" s="108"/>
      <c r="AW3" s="108"/>
      <c r="AX3" s="108"/>
      <c r="AY3" s="108"/>
      <c r="AZ3" s="108"/>
      <c r="BA3" s="108"/>
      <c r="BB3" s="108"/>
      <c r="BC3" s="108"/>
      <c r="BF3" s="298"/>
      <c r="BG3" s="54"/>
      <c r="BH3" s="54"/>
      <c r="BI3" s="54"/>
      <c r="BJ3" s="54"/>
      <c r="BK3" s="54"/>
      <c r="BL3" s="54"/>
      <c r="BN3" s="54"/>
      <c r="BO3" s="54"/>
      <c r="BV3" s="313"/>
      <c r="BX3" s="313"/>
      <c r="BY3" s="316"/>
      <c r="CC3" s="109"/>
      <c r="CD3" s="313"/>
      <c r="CF3" s="314" t="s">
        <v>28</v>
      </c>
    </row>
    <row r="4" spans="1:85" ht="90.75" customHeight="1">
      <c r="A4" s="4" t="s">
        <v>29</v>
      </c>
      <c r="B4" s="4" t="s">
        <v>30</v>
      </c>
      <c r="C4" s="4" t="s">
        <v>296</v>
      </c>
      <c r="D4" s="4" t="s">
        <v>31</v>
      </c>
      <c r="E4" s="4" t="s">
        <v>268</v>
      </c>
      <c r="F4" s="4" t="s">
        <v>32</v>
      </c>
      <c r="G4" s="4" t="s">
        <v>33</v>
      </c>
      <c r="H4" s="4" t="s">
        <v>383</v>
      </c>
      <c r="I4" s="4" t="s">
        <v>34</v>
      </c>
      <c r="J4" s="4" t="s">
        <v>305</v>
      </c>
      <c r="K4" s="4" t="s">
        <v>35</v>
      </c>
      <c r="L4" s="4" t="s">
        <v>36</v>
      </c>
      <c r="M4" s="4" t="s">
        <v>37</v>
      </c>
      <c r="N4" s="204" t="s">
        <v>38</v>
      </c>
      <c r="O4" s="205" t="s">
        <v>377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43</v>
      </c>
      <c r="U4" s="4" t="s">
        <v>255</v>
      </c>
      <c r="V4" s="130" t="s">
        <v>256</v>
      </c>
      <c r="W4" s="4" t="s">
        <v>257</v>
      </c>
      <c r="X4" s="57"/>
      <c r="Y4" s="7" t="s">
        <v>45</v>
      </c>
      <c r="Z4" s="7" t="s">
        <v>46</v>
      </c>
      <c r="AA4" s="7" t="s">
        <v>47</v>
      </c>
      <c r="AB4" s="7" t="s">
        <v>240</v>
      </c>
      <c r="AC4" s="135" t="s">
        <v>45</v>
      </c>
      <c r="AD4" s="17" t="s">
        <v>46</v>
      </c>
      <c r="AE4" s="17" t="s">
        <v>47</v>
      </c>
      <c r="AF4" s="17" t="s">
        <v>241</v>
      </c>
      <c r="AG4" s="18" t="s">
        <v>45</v>
      </c>
      <c r="AH4" s="18" t="s">
        <v>46</v>
      </c>
      <c r="AI4" s="18" t="s">
        <v>47</v>
      </c>
      <c r="AJ4" s="18" t="s">
        <v>241</v>
      </c>
      <c r="AK4" s="19" t="s">
        <v>45</v>
      </c>
      <c r="AL4" s="19" t="s">
        <v>46</v>
      </c>
      <c r="AM4" s="19" t="s">
        <v>47</v>
      </c>
      <c r="AN4" s="19" t="s">
        <v>241</v>
      </c>
      <c r="AO4" s="249"/>
      <c r="AP4" s="250" t="s">
        <v>371</v>
      </c>
      <c r="AQ4" s="250" t="s">
        <v>372</v>
      </c>
      <c r="AR4" s="250" t="s">
        <v>373</v>
      </c>
      <c r="AS4" s="250" t="s">
        <v>374</v>
      </c>
      <c r="AU4" s="248"/>
      <c r="BD4" s="64"/>
      <c r="BF4" s="298"/>
      <c r="BG4" s="56"/>
      <c r="BH4" s="56"/>
      <c r="BI4" s="53"/>
      <c r="BJ4" s="53"/>
      <c r="BK4" s="53"/>
      <c r="BL4" s="53"/>
      <c r="BN4" s="56"/>
      <c r="BO4" s="56"/>
      <c r="BP4" s="28"/>
      <c r="BQ4" s="53"/>
      <c r="BR4" s="28"/>
      <c r="BS4" s="57"/>
      <c r="BT4" s="28"/>
      <c r="BU4" s="57"/>
      <c r="BV4" s="313"/>
      <c r="BW4" s="57"/>
      <c r="BX4" s="313"/>
      <c r="BY4" s="316"/>
      <c r="CC4" s="110"/>
      <c r="CD4" s="313"/>
      <c r="CF4" s="314"/>
    </row>
    <row r="5" spans="1:85">
      <c r="A5" s="4">
        <v>1</v>
      </c>
      <c r="B5" s="5" t="s">
        <v>261</v>
      </c>
      <c r="C5" s="31" t="s">
        <v>297</v>
      </c>
      <c r="D5" s="31">
        <v>1</v>
      </c>
      <c r="E5" s="31" t="s">
        <v>277</v>
      </c>
      <c r="F5" s="31" t="s">
        <v>263</v>
      </c>
      <c r="G5" s="31" t="s">
        <v>54</v>
      </c>
      <c r="H5" s="254" t="s">
        <v>261</v>
      </c>
      <c r="I5" s="31"/>
      <c r="J5" s="31" t="s">
        <v>335</v>
      </c>
      <c r="K5" s="5" t="s">
        <v>259</v>
      </c>
      <c r="L5" s="5" t="s">
        <v>320</v>
      </c>
      <c r="M5" s="5" t="s">
        <v>260</v>
      </c>
      <c r="N5" s="38">
        <v>500</v>
      </c>
      <c r="O5" s="45">
        <f>N5*R5</f>
        <v>400000</v>
      </c>
      <c r="P5" s="8">
        <v>0</v>
      </c>
      <c r="Q5" s="141">
        <f t="shared" ref="Q5" si="0">R5*100/118</f>
        <v>677.96610169491521</v>
      </c>
      <c r="R5" s="45">
        <v>800</v>
      </c>
      <c r="S5" s="10">
        <f>P5*R5</f>
        <v>0</v>
      </c>
      <c r="T5" s="10">
        <v>40000</v>
      </c>
      <c r="U5" s="13">
        <v>0</v>
      </c>
      <c r="V5" s="131">
        <f t="shared" ref="V5" si="1">S5-T5-U5</f>
        <v>-40000</v>
      </c>
      <c r="W5" s="136">
        <v>0.1</v>
      </c>
      <c r="X5" s="57"/>
      <c r="Y5" s="79">
        <v>0.3</v>
      </c>
      <c r="Z5" s="44">
        <f>S5*Y5</f>
        <v>0</v>
      </c>
      <c r="AA5" s="173">
        <v>46082</v>
      </c>
      <c r="AB5" s="51"/>
      <c r="AC5" s="79">
        <v>0.3</v>
      </c>
      <c r="AD5" s="44">
        <f>S5*AC5</f>
        <v>0</v>
      </c>
      <c r="AE5" s="173">
        <v>46174</v>
      </c>
      <c r="AF5" s="166"/>
      <c r="AG5" s="79">
        <v>0.3</v>
      </c>
      <c r="AH5" s="180">
        <f>S5*AG5</f>
        <v>0</v>
      </c>
      <c r="AI5" s="173">
        <v>46266</v>
      </c>
      <c r="AJ5" s="51"/>
      <c r="AK5" s="51"/>
      <c r="AL5" s="51"/>
      <c r="AM5" s="51"/>
      <c r="AN5" s="51"/>
      <c r="AP5" s="60">
        <f>T5</f>
        <v>40000</v>
      </c>
      <c r="AQ5" s="240">
        <v>0</v>
      </c>
      <c r="AR5" s="240">
        <v>0</v>
      </c>
      <c r="AS5" s="60">
        <f>V5</f>
        <v>-40000</v>
      </c>
      <c r="AU5" s="253"/>
      <c r="BD5" s="64"/>
      <c r="BF5" s="53"/>
      <c r="BG5" s="56"/>
      <c r="BH5" s="56"/>
      <c r="BI5" s="53"/>
      <c r="BJ5" s="53"/>
      <c r="BK5" s="53"/>
      <c r="BL5" s="53"/>
      <c r="BN5" s="56"/>
      <c r="BO5" s="56"/>
      <c r="BP5" s="28"/>
      <c r="BQ5" s="53"/>
      <c r="BR5" s="28"/>
      <c r="BS5" s="57"/>
      <c r="BT5" s="28"/>
      <c r="BU5" s="57"/>
      <c r="BV5" s="137"/>
      <c r="BW5" s="57"/>
      <c r="BX5" s="137"/>
      <c r="BY5" s="139"/>
      <c r="CC5" s="110"/>
      <c r="CD5" s="137"/>
      <c r="CF5" s="138"/>
    </row>
    <row r="6" spans="1:85">
      <c r="A6" s="4">
        <f>A5+1</f>
        <v>2</v>
      </c>
      <c r="B6" s="147" t="s">
        <v>262</v>
      </c>
      <c r="C6" s="31" t="s">
        <v>297</v>
      </c>
      <c r="D6" s="31">
        <v>1</v>
      </c>
      <c r="E6" s="31" t="s">
        <v>271</v>
      </c>
      <c r="F6" s="31" t="s">
        <v>263</v>
      </c>
      <c r="G6" s="31" t="s">
        <v>263</v>
      </c>
      <c r="H6" s="255" t="s">
        <v>384</v>
      </c>
      <c r="I6" s="31"/>
      <c r="J6" s="31"/>
      <c r="K6" s="5" t="s">
        <v>264</v>
      </c>
      <c r="L6" s="5" t="s">
        <v>265</v>
      </c>
      <c r="M6" s="5" t="s">
        <v>266</v>
      </c>
      <c r="N6" s="190"/>
      <c r="O6" s="45">
        <f t="shared" ref="O6:O32" si="2">N6*R6</f>
        <v>0</v>
      </c>
      <c r="P6" s="8"/>
      <c r="Q6" s="45"/>
      <c r="R6" s="45"/>
      <c r="S6" s="10">
        <f t="shared" ref="S6:S69" si="3">P6*R6</f>
        <v>0</v>
      </c>
      <c r="T6" s="10">
        <v>15000</v>
      </c>
      <c r="U6" s="13">
        <v>0</v>
      </c>
      <c r="V6" s="131">
        <f t="shared" ref="V6" si="4">S6-T6-U6</f>
        <v>-15000</v>
      </c>
      <c r="W6" s="136">
        <v>0.1</v>
      </c>
      <c r="X6" s="57"/>
      <c r="Y6" s="215"/>
      <c r="Z6" s="215"/>
      <c r="AA6" s="215"/>
      <c r="AB6" s="215"/>
      <c r="AC6" s="215"/>
      <c r="AD6" s="215"/>
      <c r="AE6" s="215"/>
      <c r="AF6" s="215"/>
      <c r="AG6" s="215"/>
      <c r="AH6" s="215"/>
      <c r="AI6" s="215"/>
      <c r="AJ6" s="215"/>
      <c r="AK6" s="215"/>
      <c r="AL6" s="215"/>
      <c r="AM6" s="215"/>
      <c r="AN6" s="215"/>
      <c r="AP6" s="60">
        <f>T6</f>
        <v>15000</v>
      </c>
      <c r="AQ6" s="240">
        <v>0</v>
      </c>
      <c r="AR6" s="240">
        <v>0</v>
      </c>
      <c r="AS6" s="240">
        <v>0</v>
      </c>
      <c r="BD6" s="64"/>
      <c r="BF6" s="53"/>
      <c r="BG6" s="56"/>
      <c r="BH6" s="56"/>
      <c r="BI6" s="53"/>
      <c r="BJ6" s="53"/>
      <c r="BK6" s="53"/>
      <c r="BL6" s="53"/>
      <c r="BN6" s="56"/>
      <c r="BO6" s="56"/>
      <c r="BP6" s="28"/>
      <c r="BQ6" s="53"/>
      <c r="BR6" s="28"/>
      <c r="BS6" s="57"/>
      <c r="BT6" s="28"/>
      <c r="BU6" s="57"/>
      <c r="BV6" s="137"/>
      <c r="BW6" s="57"/>
      <c r="BX6" s="137"/>
      <c r="BY6" s="139"/>
      <c r="CC6" s="110"/>
      <c r="CD6" s="137"/>
      <c r="CF6" s="138"/>
    </row>
    <row r="7" spans="1:85">
      <c r="A7" s="148">
        <v>3</v>
      </c>
      <c r="B7" s="149" t="s">
        <v>267</v>
      </c>
      <c r="C7" s="31" t="s">
        <v>297</v>
      </c>
      <c r="D7" s="150">
        <v>1</v>
      </c>
      <c r="E7" s="150" t="s">
        <v>270</v>
      </c>
      <c r="F7" s="150" t="s">
        <v>263</v>
      </c>
      <c r="G7" s="150" t="s">
        <v>263</v>
      </c>
      <c r="H7" s="255" t="s">
        <v>384</v>
      </c>
      <c r="I7" s="150" t="s">
        <v>183</v>
      </c>
      <c r="J7" s="150"/>
      <c r="K7" s="151" t="s">
        <v>264</v>
      </c>
      <c r="L7" s="151" t="s">
        <v>97</v>
      </c>
      <c r="M7" s="151" t="s">
        <v>97</v>
      </c>
      <c r="N7" s="189">
        <v>144</v>
      </c>
      <c r="O7" s="45">
        <f t="shared" si="2"/>
        <v>0</v>
      </c>
      <c r="P7" s="199">
        <v>144</v>
      </c>
      <c r="Q7" s="200"/>
      <c r="R7" s="200"/>
      <c r="S7" s="10">
        <f t="shared" si="3"/>
        <v>0</v>
      </c>
      <c r="T7" s="71">
        <v>10000</v>
      </c>
      <c r="U7" s="152">
        <v>0</v>
      </c>
      <c r="V7" s="153">
        <f t="shared" ref="V7:V69" si="5">S7-T7-U7</f>
        <v>-10000</v>
      </c>
      <c r="W7" s="154">
        <v>0.1</v>
      </c>
      <c r="X7" s="57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15"/>
      <c r="AM7" s="215"/>
      <c r="AN7" s="215"/>
      <c r="AP7" s="60">
        <f>T7</f>
        <v>10000</v>
      </c>
      <c r="AQ7" s="240">
        <v>0</v>
      </c>
      <c r="AR7" s="240">
        <v>0</v>
      </c>
      <c r="AS7" s="240">
        <v>0</v>
      </c>
      <c r="BD7" s="64"/>
      <c r="BF7" s="53"/>
      <c r="BG7" s="56"/>
      <c r="BH7" s="56"/>
      <c r="BI7" s="53"/>
      <c r="BJ7" s="53"/>
      <c r="BK7" s="53"/>
      <c r="BL7" s="53"/>
      <c r="BN7" s="56"/>
      <c r="BO7" s="56"/>
      <c r="BP7" s="28"/>
      <c r="BQ7" s="53"/>
      <c r="BR7" s="28"/>
      <c r="BS7" s="57"/>
      <c r="BT7" s="28"/>
      <c r="BU7" s="57"/>
      <c r="BV7" s="137"/>
      <c r="BW7" s="57"/>
      <c r="BX7" s="137"/>
      <c r="BY7" s="139"/>
      <c r="CC7" s="110"/>
      <c r="CD7" s="137"/>
      <c r="CF7" s="138"/>
    </row>
    <row r="8" spans="1:85">
      <c r="A8" s="4">
        <v>4</v>
      </c>
      <c r="B8" s="5" t="s">
        <v>278</v>
      </c>
      <c r="C8" s="31" t="s">
        <v>297</v>
      </c>
      <c r="D8" s="167">
        <v>1</v>
      </c>
      <c r="E8" s="31" t="s">
        <v>272</v>
      </c>
      <c r="F8" s="31" t="s">
        <v>54</v>
      </c>
      <c r="G8" s="31" t="s">
        <v>54</v>
      </c>
      <c r="H8" s="254" t="s">
        <v>386</v>
      </c>
      <c r="I8" s="31"/>
      <c r="J8" s="31" t="s">
        <v>335</v>
      </c>
      <c r="K8" s="5" t="s">
        <v>281</v>
      </c>
      <c r="L8" s="5" t="s">
        <v>56</v>
      </c>
      <c r="M8" s="5" t="s">
        <v>57</v>
      </c>
      <c r="N8" s="38">
        <v>100</v>
      </c>
      <c r="O8" s="45">
        <f t="shared" si="2"/>
        <v>100000</v>
      </c>
      <c r="P8" s="10"/>
      <c r="Q8" s="141">
        <f t="shared" ref="Q8:Q16" si="6">R8*100/118</f>
        <v>847.45762711864404</v>
      </c>
      <c r="R8" s="41">
        <v>1000</v>
      </c>
      <c r="S8" s="10">
        <f t="shared" si="3"/>
        <v>0</v>
      </c>
      <c r="T8" s="51"/>
      <c r="U8" s="51"/>
      <c r="V8" s="131">
        <f t="shared" si="5"/>
        <v>0</v>
      </c>
      <c r="W8" s="136" t="e">
        <f t="shared" ref="W8:W11" si="7">SUM(T8:U8)/S8</f>
        <v>#DIV/0!</v>
      </c>
      <c r="X8" s="51"/>
      <c r="Y8" s="79">
        <v>0.5</v>
      </c>
      <c r="Z8" s="44">
        <f>S8*Y8</f>
        <v>0</v>
      </c>
      <c r="AA8" s="215"/>
      <c r="AB8" s="51"/>
      <c r="AC8" s="79">
        <v>0.5</v>
      </c>
      <c r="AD8" s="44">
        <f>S8*AC8</f>
        <v>0</v>
      </c>
      <c r="AE8" s="215"/>
      <c r="AF8" s="51"/>
      <c r="AG8" s="51"/>
      <c r="AH8" s="51"/>
      <c r="AI8" s="51"/>
      <c r="AJ8" s="51"/>
      <c r="AK8" s="51"/>
      <c r="AL8" s="51"/>
      <c r="AM8" s="51"/>
      <c r="AN8" s="51"/>
      <c r="AP8" s="240">
        <v>0</v>
      </c>
      <c r="AQ8" s="241">
        <f>T8</f>
        <v>0</v>
      </c>
      <c r="AR8" s="240">
        <v>0</v>
      </c>
      <c r="AS8" s="60">
        <f t="shared" ref="AS8:AS69" si="8">V8</f>
        <v>0</v>
      </c>
      <c r="BD8" s="64"/>
      <c r="BF8" s="53"/>
      <c r="BG8" s="56"/>
      <c r="BH8" s="56"/>
      <c r="BI8" s="53"/>
      <c r="BJ8" s="53"/>
      <c r="BK8" s="53"/>
      <c r="BL8" s="53"/>
      <c r="BN8" s="56"/>
      <c r="BO8" s="56"/>
      <c r="BP8" s="28"/>
      <c r="BQ8" s="53"/>
      <c r="BR8" s="28"/>
      <c r="BS8" s="57"/>
      <c r="BT8" s="28"/>
      <c r="BU8" s="57"/>
      <c r="BV8" s="137"/>
      <c r="BW8" s="57"/>
      <c r="BX8" s="137"/>
      <c r="BY8" s="139"/>
      <c r="CC8" s="110"/>
      <c r="CD8" s="137"/>
      <c r="CF8" s="138"/>
    </row>
    <row r="9" spans="1:85">
      <c r="A9" s="4">
        <v>5</v>
      </c>
      <c r="B9" s="5" t="s">
        <v>279</v>
      </c>
      <c r="C9" s="31" t="s">
        <v>297</v>
      </c>
      <c r="D9" s="31">
        <v>1</v>
      </c>
      <c r="E9" s="31" t="s">
        <v>272</v>
      </c>
      <c r="F9" s="31" t="s">
        <v>54</v>
      </c>
      <c r="G9" s="31" t="s">
        <v>54</v>
      </c>
      <c r="H9" s="254" t="s">
        <v>385</v>
      </c>
      <c r="I9" s="31"/>
      <c r="J9" s="31" t="s">
        <v>335</v>
      </c>
      <c r="K9" s="5" t="s">
        <v>281</v>
      </c>
      <c r="L9" s="5" t="s">
        <v>56</v>
      </c>
      <c r="M9" s="5" t="s">
        <v>57</v>
      </c>
      <c r="N9" s="38">
        <v>40</v>
      </c>
      <c r="O9" s="45">
        <f t="shared" si="2"/>
        <v>40000</v>
      </c>
      <c r="P9" s="168"/>
      <c r="Q9" s="141">
        <f t="shared" si="6"/>
        <v>847.45762711864404</v>
      </c>
      <c r="R9" s="41">
        <v>1000</v>
      </c>
      <c r="S9" s="10">
        <f t="shared" si="3"/>
        <v>0</v>
      </c>
      <c r="T9" s="168"/>
      <c r="U9" s="168"/>
      <c r="V9" s="131">
        <f t="shared" si="5"/>
        <v>0</v>
      </c>
      <c r="W9" s="136" t="e">
        <f t="shared" si="7"/>
        <v>#DIV/0!</v>
      </c>
      <c r="X9" s="51"/>
      <c r="Y9" s="79">
        <v>0.5</v>
      </c>
      <c r="Z9" s="44">
        <f>S9*Y9</f>
        <v>0</v>
      </c>
      <c r="AA9" s="29"/>
      <c r="AB9" s="5"/>
      <c r="AC9" s="79">
        <v>0.5</v>
      </c>
      <c r="AD9" s="44">
        <f>S9*AC9</f>
        <v>0</v>
      </c>
      <c r="AE9" s="29"/>
      <c r="AF9" s="5"/>
      <c r="AG9" s="5"/>
      <c r="AH9" s="5"/>
      <c r="AI9" s="5"/>
      <c r="AJ9" s="5"/>
      <c r="AK9" s="5"/>
      <c r="AL9" s="5"/>
      <c r="AM9" s="5"/>
      <c r="AN9" s="51"/>
      <c r="AP9" s="240">
        <v>0</v>
      </c>
      <c r="AQ9" s="241">
        <f t="shared" ref="AQ9:AQ12" si="9">T9</f>
        <v>0</v>
      </c>
      <c r="AR9" s="240">
        <v>0</v>
      </c>
      <c r="AS9" s="60">
        <f t="shared" si="8"/>
        <v>0</v>
      </c>
      <c r="BD9" s="64"/>
      <c r="BF9" s="53"/>
      <c r="BG9" s="56"/>
      <c r="BH9" s="56"/>
      <c r="BI9" s="53"/>
      <c r="BJ9" s="53"/>
      <c r="BK9" s="53"/>
      <c r="BL9" s="53"/>
      <c r="BN9" s="56"/>
      <c r="BO9" s="56"/>
      <c r="BP9" s="28"/>
      <c r="BQ9" s="53"/>
      <c r="BR9" s="28"/>
      <c r="BS9" s="57"/>
      <c r="BT9" s="28"/>
      <c r="BU9" s="57"/>
      <c r="BV9" s="137"/>
      <c r="BW9" s="57"/>
      <c r="BX9" s="137"/>
      <c r="BY9" s="139"/>
      <c r="CC9" s="110"/>
      <c r="CD9" s="137"/>
      <c r="CF9" s="138"/>
    </row>
    <row r="10" spans="1:85">
      <c r="A10" s="4">
        <v>6</v>
      </c>
      <c r="B10" s="5" t="s">
        <v>280</v>
      </c>
      <c r="C10" s="31" t="s">
        <v>297</v>
      </c>
      <c r="D10" s="167">
        <v>1</v>
      </c>
      <c r="E10" s="31" t="s">
        <v>272</v>
      </c>
      <c r="F10" s="31" t="s">
        <v>54</v>
      </c>
      <c r="G10" s="31" t="s">
        <v>54</v>
      </c>
      <c r="H10" s="254" t="s">
        <v>387</v>
      </c>
      <c r="I10" s="31"/>
      <c r="J10" s="31" t="s">
        <v>335</v>
      </c>
      <c r="K10" s="5" t="s">
        <v>281</v>
      </c>
      <c r="L10" s="5" t="s">
        <v>56</v>
      </c>
      <c r="M10" s="5" t="s">
        <v>57</v>
      </c>
      <c r="N10" s="38">
        <v>100</v>
      </c>
      <c r="O10" s="45">
        <f t="shared" si="2"/>
        <v>100000</v>
      </c>
      <c r="P10" s="8"/>
      <c r="Q10" s="141">
        <f t="shared" si="6"/>
        <v>847.45762711864404</v>
      </c>
      <c r="R10" s="41">
        <v>1000</v>
      </c>
      <c r="S10" s="10">
        <f t="shared" si="3"/>
        <v>0</v>
      </c>
      <c r="T10" s="51"/>
      <c r="U10" s="51"/>
      <c r="V10" s="131">
        <f t="shared" si="5"/>
        <v>0</v>
      </c>
      <c r="W10" s="136" t="e">
        <f t="shared" si="7"/>
        <v>#DIV/0!</v>
      </c>
      <c r="X10" s="51"/>
      <c r="Y10" s="79">
        <v>0.5</v>
      </c>
      <c r="Z10" s="44">
        <f t="shared" ref="Z10:Z12" si="10">S10*Y10</f>
        <v>0</v>
      </c>
      <c r="AA10" s="29"/>
      <c r="AB10" s="5"/>
      <c r="AC10" s="79">
        <v>0.5</v>
      </c>
      <c r="AD10" s="44">
        <f t="shared" ref="AD10:AD12" si="11">S10*AC10</f>
        <v>0</v>
      </c>
      <c r="AE10" s="29"/>
      <c r="AF10" s="5"/>
      <c r="AG10" s="5"/>
      <c r="AH10" s="5"/>
      <c r="AI10" s="5"/>
      <c r="AJ10" s="5"/>
      <c r="AK10" s="5"/>
      <c r="AL10" s="5"/>
      <c r="AM10" s="5"/>
      <c r="AN10" s="51"/>
      <c r="AP10" s="240">
        <v>0</v>
      </c>
      <c r="AQ10" s="241">
        <f t="shared" si="9"/>
        <v>0</v>
      </c>
      <c r="AR10" s="240">
        <v>0</v>
      </c>
      <c r="AS10" s="60">
        <f t="shared" si="8"/>
        <v>0</v>
      </c>
      <c r="BD10" s="64"/>
      <c r="BF10" s="53"/>
      <c r="BG10" s="56"/>
      <c r="BH10" s="56"/>
      <c r="BI10" s="53"/>
      <c r="BJ10" s="53"/>
      <c r="BK10" s="53"/>
      <c r="BL10" s="53"/>
      <c r="BN10" s="56"/>
      <c r="BO10" s="56"/>
      <c r="BP10" s="28"/>
      <c r="BQ10" s="53"/>
      <c r="BR10" s="28"/>
      <c r="BS10" s="57"/>
      <c r="BT10" s="28"/>
      <c r="BU10" s="57"/>
      <c r="BV10" s="137"/>
      <c r="BW10" s="57"/>
      <c r="BX10" s="137"/>
      <c r="BY10" s="139"/>
      <c r="CC10" s="110"/>
      <c r="CD10" s="137"/>
      <c r="CF10" s="138"/>
    </row>
    <row r="11" spans="1:85">
      <c r="A11" s="155">
        <v>7</v>
      </c>
      <c r="B11" s="156" t="s">
        <v>282</v>
      </c>
      <c r="C11" s="31" t="s">
        <v>297</v>
      </c>
      <c r="D11" s="169">
        <v>1</v>
      </c>
      <c r="E11" s="31" t="s">
        <v>272</v>
      </c>
      <c r="F11" s="31" t="s">
        <v>54</v>
      </c>
      <c r="G11" s="31" t="s">
        <v>54</v>
      </c>
      <c r="H11" s="254" t="s">
        <v>282</v>
      </c>
      <c r="I11" s="157"/>
      <c r="J11" s="143" t="s">
        <v>335</v>
      </c>
      <c r="K11" s="5" t="s">
        <v>281</v>
      </c>
      <c r="L11" s="5" t="s">
        <v>56</v>
      </c>
      <c r="M11" s="5" t="s">
        <v>57</v>
      </c>
      <c r="N11" s="191">
        <v>200</v>
      </c>
      <c r="O11" s="45">
        <f t="shared" si="2"/>
        <v>200000</v>
      </c>
      <c r="P11" s="170"/>
      <c r="Q11" s="141">
        <f t="shared" si="6"/>
        <v>847.45762711864404</v>
      </c>
      <c r="R11" s="171">
        <v>1000</v>
      </c>
      <c r="S11" s="10">
        <f t="shared" si="3"/>
        <v>0</v>
      </c>
      <c r="T11" s="172"/>
      <c r="U11" s="172"/>
      <c r="V11" s="131">
        <f t="shared" si="5"/>
        <v>0</v>
      </c>
      <c r="W11" s="136" t="e">
        <f t="shared" si="7"/>
        <v>#DIV/0!</v>
      </c>
      <c r="X11" s="14"/>
      <c r="Y11" s="163">
        <v>0.5</v>
      </c>
      <c r="Z11" s="44">
        <f t="shared" si="10"/>
        <v>0</v>
      </c>
      <c r="AA11" s="173">
        <v>46266</v>
      </c>
      <c r="AB11" s="156"/>
      <c r="AC11" s="163">
        <v>0.5</v>
      </c>
      <c r="AD11" s="44">
        <f t="shared" si="11"/>
        <v>0</v>
      </c>
      <c r="AE11" s="173">
        <v>46447</v>
      </c>
      <c r="AF11" s="156"/>
      <c r="AG11" s="156"/>
      <c r="AH11" s="156"/>
      <c r="AI11" s="156"/>
      <c r="AJ11" s="156"/>
      <c r="AK11" s="156"/>
      <c r="AL11" s="156"/>
      <c r="AM11" s="156"/>
      <c r="AN11" s="172"/>
      <c r="AP11" s="240">
        <v>0</v>
      </c>
      <c r="AQ11" s="241">
        <f t="shared" si="9"/>
        <v>0</v>
      </c>
      <c r="AR11" s="240">
        <v>0</v>
      </c>
      <c r="AS11" s="60">
        <f t="shared" si="8"/>
        <v>0</v>
      </c>
      <c r="BD11" s="64"/>
      <c r="BF11" s="53"/>
      <c r="BG11" s="56"/>
      <c r="BH11" s="56"/>
      <c r="BI11" s="53"/>
      <c r="BJ11" s="53"/>
      <c r="BK11" s="53"/>
      <c r="BL11" s="53"/>
      <c r="BN11" s="56"/>
      <c r="BO11" s="56"/>
      <c r="BP11" s="28"/>
      <c r="BQ11" s="53"/>
      <c r="BR11" s="28"/>
      <c r="BS11" s="57"/>
      <c r="BT11" s="28"/>
      <c r="BU11" s="57"/>
      <c r="BV11" s="137"/>
      <c r="BW11" s="57"/>
      <c r="BX11" s="137"/>
      <c r="BY11" s="139"/>
      <c r="CC11" s="110"/>
      <c r="CD11" s="137"/>
      <c r="CF11" s="138"/>
    </row>
    <row r="12" spans="1:85">
      <c r="A12" s="155">
        <f t="shared" ref="A12:A68" si="12">A11+1</f>
        <v>8</v>
      </c>
      <c r="B12" s="156" t="s">
        <v>64</v>
      </c>
      <c r="C12" s="157" t="s">
        <v>298</v>
      </c>
      <c r="D12" s="157">
        <v>1</v>
      </c>
      <c r="E12" s="157" t="s">
        <v>269</v>
      </c>
      <c r="F12" s="157" t="s">
        <v>263</v>
      </c>
      <c r="G12" s="157" t="s">
        <v>54</v>
      </c>
      <c r="H12" s="254" t="s">
        <v>413</v>
      </c>
      <c r="I12" s="157"/>
      <c r="J12" s="157"/>
      <c r="K12" s="156" t="s">
        <v>105</v>
      </c>
      <c r="L12" s="156" t="s">
        <v>56</v>
      </c>
      <c r="M12" s="156" t="s">
        <v>57</v>
      </c>
      <c r="N12" s="191">
        <v>559</v>
      </c>
      <c r="O12" s="45">
        <f t="shared" si="2"/>
        <v>1385202</v>
      </c>
      <c r="P12" s="158">
        <v>559</v>
      </c>
      <c r="Q12" s="141">
        <f t="shared" si="6"/>
        <v>2100</v>
      </c>
      <c r="R12" s="160">
        <v>2478</v>
      </c>
      <c r="S12" s="10">
        <f t="shared" si="3"/>
        <v>1385202</v>
      </c>
      <c r="T12" s="127"/>
      <c r="U12" s="161"/>
      <c r="V12" s="131">
        <f t="shared" si="5"/>
        <v>1385202</v>
      </c>
      <c r="W12" s="162">
        <f>SUM(T12:U12)/S12</f>
        <v>0</v>
      </c>
      <c r="X12" s="133"/>
      <c r="Y12" s="163">
        <v>0.25</v>
      </c>
      <c r="Z12" s="127">
        <f t="shared" si="10"/>
        <v>346300.5</v>
      </c>
      <c r="AA12" s="207" t="s">
        <v>338</v>
      </c>
      <c r="AB12" s="164"/>
      <c r="AC12" s="165">
        <v>0.25</v>
      </c>
      <c r="AD12" s="127">
        <f t="shared" si="11"/>
        <v>346300.5</v>
      </c>
      <c r="AE12" s="173">
        <v>46204</v>
      </c>
      <c r="AF12" s="166"/>
      <c r="AG12" s="165">
        <v>0.25</v>
      </c>
      <c r="AH12" s="180">
        <f t="shared" ref="AH12" si="13">S12*AG12</f>
        <v>346300.5</v>
      </c>
      <c r="AI12" s="173">
        <v>46296</v>
      </c>
      <c r="AJ12" s="127"/>
      <c r="AK12" s="165">
        <v>0.25</v>
      </c>
      <c r="AL12" s="127">
        <f t="shared" ref="AL12" si="14">AH12</f>
        <v>346300.5</v>
      </c>
      <c r="AM12" s="173">
        <v>46388</v>
      </c>
      <c r="AN12" s="127"/>
      <c r="AP12" s="240">
        <v>0</v>
      </c>
      <c r="AQ12" s="241">
        <f t="shared" si="9"/>
        <v>0</v>
      </c>
      <c r="AR12" s="240">
        <v>0</v>
      </c>
      <c r="AS12" s="60">
        <f t="shared" si="8"/>
        <v>1385202</v>
      </c>
      <c r="AT12" s="111"/>
      <c r="AU12" s="111"/>
      <c r="AV12" s="111"/>
      <c r="AW12" s="111"/>
      <c r="AX12" s="111"/>
      <c r="AY12" s="111"/>
      <c r="AZ12" s="111"/>
      <c r="BA12" s="111"/>
      <c r="BB12" s="111"/>
      <c r="BC12" s="111"/>
      <c r="BD12" s="27"/>
      <c r="BE12" s="27"/>
      <c r="BF12" s="27"/>
      <c r="BG12" s="27"/>
      <c r="BH12" s="27"/>
      <c r="BI12" s="27"/>
      <c r="BJ12" s="27"/>
      <c r="BK12" s="27"/>
      <c r="BL12" s="27"/>
      <c r="BN12" s="15"/>
      <c r="BO12" s="15"/>
      <c r="BQ12" s="27"/>
      <c r="BS12" s="15"/>
      <c r="BU12" s="15"/>
      <c r="BV12" s="15"/>
      <c r="BW12" s="15"/>
      <c r="BX12" s="111"/>
      <c r="BY12" s="111"/>
      <c r="CC12" s="15"/>
      <c r="CD12" s="27"/>
      <c r="CF12" s="60">
        <f t="shared" ref="CF12:CF65" si="15">BV12-CD12</f>
        <v>0</v>
      </c>
      <c r="CG12" s="61" t="e">
        <f t="shared" ref="CG12:CG65" si="16">CF12/BV12</f>
        <v>#DIV/0!</v>
      </c>
    </row>
    <row r="13" spans="1:85">
      <c r="A13" s="155">
        <f t="shared" si="12"/>
        <v>9</v>
      </c>
      <c r="B13" s="156" t="s">
        <v>302</v>
      </c>
      <c r="C13" s="157" t="s">
        <v>297</v>
      </c>
      <c r="D13" s="157">
        <v>1</v>
      </c>
      <c r="E13" s="157" t="s">
        <v>275</v>
      </c>
      <c r="F13" s="157" t="s">
        <v>183</v>
      </c>
      <c r="G13" s="157" t="s">
        <v>54</v>
      </c>
      <c r="H13" s="254" t="s">
        <v>388</v>
      </c>
      <c r="I13" s="157"/>
      <c r="J13" s="143" t="s">
        <v>335</v>
      </c>
      <c r="K13" s="156" t="s">
        <v>294</v>
      </c>
      <c r="L13" s="156" t="s">
        <v>303</v>
      </c>
      <c r="M13" s="156" t="s">
        <v>104</v>
      </c>
      <c r="N13" s="191">
        <v>180</v>
      </c>
      <c r="O13" s="45">
        <f t="shared" si="2"/>
        <v>149999.9994</v>
      </c>
      <c r="P13" s="158">
        <v>180</v>
      </c>
      <c r="Q13" s="141">
        <f t="shared" si="6"/>
        <v>706.21468644067795</v>
      </c>
      <c r="R13" s="160">
        <v>833.33333000000005</v>
      </c>
      <c r="S13" s="10">
        <f t="shared" si="3"/>
        <v>149999.9994</v>
      </c>
      <c r="T13" s="127">
        <v>67500</v>
      </c>
      <c r="U13" s="161">
        <v>7500</v>
      </c>
      <c r="V13" s="131">
        <f t="shared" si="5"/>
        <v>74999.999400000001</v>
      </c>
      <c r="W13" s="162">
        <f>SUM(T13:U13)/S13</f>
        <v>0.50000000200000005</v>
      </c>
      <c r="X13" s="133"/>
      <c r="Y13" s="183">
        <v>0.5</v>
      </c>
      <c r="Z13" s="184">
        <f>T13+U13</f>
        <v>75000</v>
      </c>
      <c r="AA13" s="185">
        <v>46082</v>
      </c>
      <c r="AB13" s="186" t="s">
        <v>145</v>
      </c>
      <c r="AC13" s="163">
        <v>0.5</v>
      </c>
      <c r="AD13" s="44">
        <f t="shared" ref="AD13:AD15" si="17">S13*AC13</f>
        <v>74999.9997</v>
      </c>
      <c r="AE13" s="173">
        <v>46266</v>
      </c>
      <c r="AF13" s="166"/>
      <c r="AG13" s="127"/>
      <c r="AH13" s="127"/>
      <c r="AI13" s="127"/>
      <c r="AJ13" s="127"/>
      <c r="AK13" s="127"/>
      <c r="AL13" s="127"/>
      <c r="AM13" s="127"/>
      <c r="AN13" s="127"/>
      <c r="AP13" s="240">
        <v>0</v>
      </c>
      <c r="AQ13" s="241">
        <f>T13+U13</f>
        <v>75000</v>
      </c>
      <c r="AR13" s="240">
        <v>0</v>
      </c>
      <c r="AS13" s="60">
        <f t="shared" si="8"/>
        <v>74999.999400000001</v>
      </c>
      <c r="AT13" s="111"/>
      <c r="AU13" s="111"/>
      <c r="AV13" s="111"/>
      <c r="AW13" s="111"/>
      <c r="AX13" s="111"/>
      <c r="AY13" s="111"/>
      <c r="AZ13" s="111"/>
      <c r="BA13" s="111"/>
      <c r="BB13" s="111"/>
      <c r="BC13" s="111"/>
      <c r="BD13" s="27"/>
      <c r="BE13" s="27"/>
      <c r="BF13" s="27"/>
      <c r="BG13" s="27"/>
      <c r="BH13" s="27"/>
      <c r="BI13" s="27"/>
      <c r="BJ13" s="27"/>
      <c r="BK13" s="27"/>
      <c r="BL13" s="27"/>
      <c r="BN13" s="15"/>
      <c r="BO13" s="15"/>
      <c r="BQ13" s="27"/>
      <c r="BS13" s="15"/>
      <c r="BU13" s="15"/>
      <c r="BV13" s="15"/>
      <c r="BW13" s="15"/>
      <c r="BX13" s="111"/>
      <c r="BY13" s="111"/>
      <c r="CC13" s="15"/>
      <c r="CD13" s="27"/>
      <c r="CF13" s="60"/>
      <c r="CG13" s="61"/>
    </row>
    <row r="14" spans="1:85">
      <c r="A14" s="155">
        <f t="shared" si="12"/>
        <v>10</v>
      </c>
      <c r="B14" s="156" t="s">
        <v>287</v>
      </c>
      <c r="C14" s="157" t="s">
        <v>297</v>
      </c>
      <c r="D14" s="157">
        <v>1</v>
      </c>
      <c r="E14" s="157" t="s">
        <v>284</v>
      </c>
      <c r="F14" s="157" t="s">
        <v>183</v>
      </c>
      <c r="G14" s="157" t="s">
        <v>263</v>
      </c>
      <c r="H14" s="255" t="s">
        <v>384</v>
      </c>
      <c r="I14" s="157" t="s">
        <v>183</v>
      </c>
      <c r="J14" s="157"/>
      <c r="K14" s="156" t="s">
        <v>105</v>
      </c>
      <c r="L14" s="156" t="s">
        <v>291</v>
      </c>
      <c r="M14" s="156" t="s">
        <v>283</v>
      </c>
      <c r="N14" s="191">
        <v>125</v>
      </c>
      <c r="O14" s="45">
        <f t="shared" si="2"/>
        <v>275000</v>
      </c>
      <c r="P14" s="158">
        <v>125</v>
      </c>
      <c r="Q14" s="141">
        <f t="shared" si="6"/>
        <v>1864.406779661017</v>
      </c>
      <c r="R14" s="160">
        <v>2200</v>
      </c>
      <c r="S14" s="10">
        <f t="shared" si="3"/>
        <v>275000</v>
      </c>
      <c r="T14" s="127">
        <v>65000</v>
      </c>
      <c r="U14" s="161"/>
      <c r="V14" s="131">
        <f t="shared" si="5"/>
        <v>210000</v>
      </c>
      <c r="W14" s="136">
        <f t="shared" ref="W14:W16" si="18">SUM(T14:U14)/S14</f>
        <v>0.23636363636363636</v>
      </c>
      <c r="X14" s="133"/>
      <c r="Y14" s="163">
        <v>0.5</v>
      </c>
      <c r="Z14" s="44">
        <f t="shared" ref="Z14:Z15" si="19">S14*Y14</f>
        <v>137500</v>
      </c>
      <c r="AA14" s="173">
        <v>46054</v>
      </c>
      <c r="AB14" s="164" t="s">
        <v>382</v>
      </c>
      <c r="AC14" s="163">
        <v>0.5</v>
      </c>
      <c r="AD14" s="44">
        <f t="shared" si="17"/>
        <v>137500</v>
      </c>
      <c r="AE14" s="173">
        <v>46204</v>
      </c>
      <c r="AF14" s="166"/>
      <c r="AG14" s="127"/>
      <c r="AH14" s="127"/>
      <c r="AI14" s="127"/>
      <c r="AJ14" s="127"/>
      <c r="AK14" s="127"/>
      <c r="AL14" s="127"/>
      <c r="AM14" s="127"/>
      <c r="AN14" s="127"/>
      <c r="AP14" s="240">
        <v>65000</v>
      </c>
      <c r="AQ14" s="241">
        <v>0</v>
      </c>
      <c r="AR14" s="240">
        <v>0</v>
      </c>
      <c r="AS14" s="60">
        <f t="shared" si="8"/>
        <v>210000</v>
      </c>
      <c r="AT14" s="111"/>
      <c r="AU14" s="111"/>
      <c r="AV14" s="111"/>
      <c r="AW14" s="111"/>
      <c r="AX14" s="111"/>
      <c r="AY14" s="111"/>
      <c r="AZ14" s="111"/>
      <c r="BA14" s="111"/>
      <c r="BB14" s="111"/>
      <c r="BC14" s="111"/>
      <c r="BD14" s="27"/>
      <c r="BE14" s="27"/>
      <c r="BF14" s="27"/>
      <c r="BG14" s="27"/>
      <c r="BH14" s="27"/>
      <c r="BI14" s="27"/>
      <c r="BJ14" s="27"/>
      <c r="BK14" s="27"/>
      <c r="BL14" s="27"/>
      <c r="BN14" s="15"/>
      <c r="BO14" s="15"/>
      <c r="BQ14" s="27"/>
      <c r="BS14" s="15"/>
      <c r="BU14" s="15"/>
      <c r="BV14" s="15"/>
      <c r="BW14" s="15"/>
      <c r="BX14" s="111"/>
      <c r="BY14" s="111"/>
      <c r="CC14" s="15"/>
      <c r="CD14" s="27"/>
      <c r="CF14" s="60"/>
      <c r="CG14" s="61"/>
    </row>
    <row r="15" spans="1:85">
      <c r="A15" s="155">
        <f t="shared" si="12"/>
        <v>11</v>
      </c>
      <c r="B15" s="174" t="s">
        <v>286</v>
      </c>
      <c r="C15" s="157" t="s">
        <v>297</v>
      </c>
      <c r="D15" s="157">
        <v>1</v>
      </c>
      <c r="E15" s="157" t="s">
        <v>284</v>
      </c>
      <c r="F15" s="157" t="s">
        <v>183</v>
      </c>
      <c r="G15" s="157" t="s">
        <v>263</v>
      </c>
      <c r="H15" s="255" t="s">
        <v>384</v>
      </c>
      <c r="I15" s="157" t="s">
        <v>183</v>
      </c>
      <c r="J15" s="157"/>
      <c r="K15" s="156" t="s">
        <v>105</v>
      </c>
      <c r="L15" s="156" t="s">
        <v>291</v>
      </c>
      <c r="M15" s="156" t="s">
        <v>283</v>
      </c>
      <c r="N15" s="191">
        <v>160</v>
      </c>
      <c r="O15" s="45">
        <f t="shared" si="2"/>
        <v>288000</v>
      </c>
      <c r="P15" s="158">
        <v>170</v>
      </c>
      <c r="Q15" s="141">
        <f t="shared" si="6"/>
        <v>1525.4237288135594</v>
      </c>
      <c r="R15" s="160">
        <v>1800</v>
      </c>
      <c r="S15" s="10">
        <f t="shared" si="3"/>
        <v>306000</v>
      </c>
      <c r="T15" s="127"/>
      <c r="U15" s="161"/>
      <c r="V15" s="131">
        <f t="shared" si="5"/>
        <v>306000</v>
      </c>
      <c r="W15" s="136">
        <f t="shared" si="18"/>
        <v>0</v>
      </c>
      <c r="X15" s="133"/>
      <c r="Y15" s="163">
        <v>0.5</v>
      </c>
      <c r="Z15" s="44">
        <f t="shared" si="19"/>
        <v>153000</v>
      </c>
      <c r="AA15" s="173">
        <v>46054</v>
      </c>
      <c r="AB15" s="164"/>
      <c r="AC15" s="163">
        <v>0.5</v>
      </c>
      <c r="AD15" s="44">
        <f t="shared" si="17"/>
        <v>153000</v>
      </c>
      <c r="AE15" s="173">
        <v>46204</v>
      </c>
      <c r="AF15" s="166"/>
      <c r="AG15" s="127"/>
      <c r="AH15" s="127"/>
      <c r="AI15" s="127"/>
      <c r="AJ15" s="127"/>
      <c r="AK15" s="127"/>
      <c r="AL15" s="127"/>
      <c r="AM15" s="127"/>
      <c r="AN15" s="127"/>
      <c r="AP15" s="240">
        <v>0</v>
      </c>
      <c r="AQ15" s="241">
        <f t="shared" ref="AQ15:AQ69" si="20">T15+U15</f>
        <v>0</v>
      </c>
      <c r="AR15" s="240">
        <v>0</v>
      </c>
      <c r="AS15" s="60">
        <f t="shared" si="8"/>
        <v>306000</v>
      </c>
      <c r="AT15" s="111"/>
      <c r="AU15" s="111"/>
      <c r="AV15" s="111"/>
      <c r="AW15" s="111"/>
      <c r="AX15" s="111"/>
      <c r="AY15" s="111"/>
      <c r="AZ15" s="111"/>
      <c r="BA15" s="111"/>
      <c r="BB15" s="111"/>
      <c r="BC15" s="111"/>
      <c r="BD15" s="27"/>
      <c r="BE15" s="27"/>
      <c r="BF15" s="27"/>
      <c r="BG15" s="27"/>
      <c r="BH15" s="27"/>
      <c r="BI15" s="27"/>
      <c r="BJ15" s="27"/>
      <c r="BK15" s="27"/>
      <c r="BL15" s="27"/>
      <c r="BN15" s="15"/>
      <c r="BO15" s="15"/>
      <c r="BQ15" s="27"/>
      <c r="BS15" s="15"/>
      <c r="BU15" s="15"/>
      <c r="BV15" s="15"/>
      <c r="BW15" s="15"/>
      <c r="BX15" s="111"/>
      <c r="BY15" s="111"/>
      <c r="CC15" s="15"/>
      <c r="CD15" s="27"/>
      <c r="CF15" s="60"/>
      <c r="CG15" s="61"/>
    </row>
    <row r="16" spans="1:85">
      <c r="A16" s="155">
        <f t="shared" si="12"/>
        <v>12</v>
      </c>
      <c r="B16" s="156" t="s">
        <v>285</v>
      </c>
      <c r="C16" s="157" t="s">
        <v>297</v>
      </c>
      <c r="D16" s="157">
        <v>1</v>
      </c>
      <c r="E16" s="157" t="s">
        <v>284</v>
      </c>
      <c r="F16" s="157" t="s">
        <v>183</v>
      </c>
      <c r="G16" s="157" t="s">
        <v>263</v>
      </c>
      <c r="H16" s="255" t="s">
        <v>384</v>
      </c>
      <c r="I16" s="157" t="s">
        <v>183</v>
      </c>
      <c r="J16" s="157"/>
      <c r="K16" s="156" t="s">
        <v>290</v>
      </c>
      <c r="L16" s="156" t="s">
        <v>291</v>
      </c>
      <c r="M16" s="156" t="s">
        <v>283</v>
      </c>
      <c r="N16" s="191">
        <v>263</v>
      </c>
      <c r="O16" s="45">
        <f t="shared" si="2"/>
        <v>473400</v>
      </c>
      <c r="P16" s="158">
        <v>263</v>
      </c>
      <c r="Q16" s="141">
        <f t="shared" si="6"/>
        <v>1525.4237288135594</v>
      </c>
      <c r="R16" s="160">
        <v>1800</v>
      </c>
      <c r="S16" s="10">
        <f t="shared" si="3"/>
        <v>473400</v>
      </c>
      <c r="T16" s="127">
        <v>30000</v>
      </c>
      <c r="U16" s="161"/>
      <c r="V16" s="131">
        <f t="shared" si="5"/>
        <v>443400</v>
      </c>
      <c r="W16" s="136">
        <f t="shared" si="18"/>
        <v>6.3371356147021551E-2</v>
      </c>
      <c r="X16" s="133"/>
      <c r="Y16" s="163" t="s">
        <v>337</v>
      </c>
      <c r="Z16" s="127">
        <f>350000-T16</f>
        <v>320000</v>
      </c>
      <c r="AA16" s="173">
        <v>46054</v>
      </c>
      <c r="AB16" s="164"/>
      <c r="AC16" s="127"/>
      <c r="AD16" s="127">
        <f>S16-Z16</f>
        <v>153400</v>
      </c>
      <c r="AE16" s="173">
        <v>46204</v>
      </c>
      <c r="AF16" s="166"/>
      <c r="AG16" s="127"/>
      <c r="AH16" s="127"/>
      <c r="AI16" s="127"/>
      <c r="AJ16" s="127"/>
      <c r="AK16" s="127"/>
      <c r="AL16" s="127"/>
      <c r="AM16" s="127"/>
      <c r="AN16" s="127"/>
      <c r="AP16" s="240">
        <v>30000</v>
      </c>
      <c r="AQ16" s="241">
        <v>0</v>
      </c>
      <c r="AR16" s="240">
        <v>0</v>
      </c>
      <c r="AS16" s="60">
        <f t="shared" si="8"/>
        <v>443400</v>
      </c>
      <c r="AT16" s="111"/>
      <c r="AU16" s="111"/>
      <c r="AV16" s="111"/>
      <c r="AW16" s="111"/>
      <c r="AX16" s="111"/>
      <c r="AY16" s="111"/>
      <c r="AZ16" s="111"/>
      <c r="BA16" s="111"/>
      <c r="BB16" s="111"/>
      <c r="BC16" s="111"/>
      <c r="BD16" s="27"/>
      <c r="BE16" s="27"/>
      <c r="BF16" s="27"/>
      <c r="BG16" s="27"/>
      <c r="BH16" s="27"/>
      <c r="BI16" s="27"/>
      <c r="BJ16" s="27"/>
      <c r="BK16" s="27"/>
      <c r="BL16" s="27"/>
      <c r="BN16" s="15"/>
      <c r="BO16" s="15"/>
      <c r="BQ16" s="27"/>
      <c r="BS16" s="15"/>
      <c r="BU16" s="15"/>
      <c r="BV16" s="15"/>
      <c r="BW16" s="15"/>
      <c r="BX16" s="111"/>
      <c r="BY16" s="111"/>
      <c r="CC16" s="15"/>
      <c r="CD16" s="27"/>
      <c r="CF16" s="60"/>
      <c r="CG16" s="61"/>
    </row>
    <row r="17" spans="1:85">
      <c r="A17" s="155">
        <f t="shared" si="12"/>
        <v>13</v>
      </c>
      <c r="B17" s="156" t="s">
        <v>323</v>
      </c>
      <c r="C17" s="157" t="s">
        <v>297</v>
      </c>
      <c r="D17" s="157">
        <v>1</v>
      </c>
      <c r="E17" s="31" t="s">
        <v>272</v>
      </c>
      <c r="F17" s="157" t="s">
        <v>183</v>
      </c>
      <c r="G17" s="157" t="s">
        <v>54</v>
      </c>
      <c r="H17" s="254" t="s">
        <v>389</v>
      </c>
      <c r="I17" s="157"/>
      <c r="J17" s="143" t="s">
        <v>335</v>
      </c>
      <c r="K17" s="156" t="s">
        <v>289</v>
      </c>
      <c r="L17" s="156" t="s">
        <v>288</v>
      </c>
      <c r="M17" s="156" t="s">
        <v>57</v>
      </c>
      <c r="N17" s="195">
        <v>0</v>
      </c>
      <c r="O17" s="45">
        <f t="shared" si="2"/>
        <v>0</v>
      </c>
      <c r="P17" s="158"/>
      <c r="Q17" s="159"/>
      <c r="R17" s="160"/>
      <c r="S17" s="10">
        <v>180000</v>
      </c>
      <c r="T17" s="127">
        <v>45000</v>
      </c>
      <c r="U17" s="161"/>
      <c r="V17" s="131">
        <f t="shared" si="5"/>
        <v>135000</v>
      </c>
      <c r="W17" s="162">
        <f>SUM(T17:U17)/S17</f>
        <v>0.25</v>
      </c>
      <c r="X17" s="133"/>
      <c r="Y17" s="183">
        <v>0.25</v>
      </c>
      <c r="Z17" s="184">
        <f>S17*Y17</f>
        <v>45000</v>
      </c>
      <c r="AA17" s="185">
        <v>46082</v>
      </c>
      <c r="AB17" s="186" t="s">
        <v>145</v>
      </c>
      <c r="AC17" s="163">
        <v>0.25</v>
      </c>
      <c r="AD17" s="44">
        <f t="shared" ref="AD17:AD19" si="21">S17*AC17</f>
        <v>45000</v>
      </c>
      <c r="AE17" s="173">
        <v>46235</v>
      </c>
      <c r="AF17" s="166"/>
      <c r="AG17" s="165">
        <v>0.25</v>
      </c>
      <c r="AH17" s="180">
        <f t="shared" ref="AH17:AH19" si="22">S17*AG17</f>
        <v>45000</v>
      </c>
      <c r="AI17" s="173">
        <v>46296</v>
      </c>
      <c r="AJ17" s="127"/>
      <c r="AK17" s="165">
        <v>0.25</v>
      </c>
      <c r="AL17" s="127">
        <f t="shared" ref="AL17:AL19" si="23">AH17</f>
        <v>45000</v>
      </c>
      <c r="AM17" s="173">
        <v>46388</v>
      </c>
      <c r="AN17" s="127"/>
      <c r="AP17" s="240">
        <v>0</v>
      </c>
      <c r="AQ17" s="241">
        <f t="shared" si="20"/>
        <v>45000</v>
      </c>
      <c r="AR17" s="240">
        <v>0</v>
      </c>
      <c r="AS17" s="60">
        <f t="shared" si="8"/>
        <v>135000</v>
      </c>
      <c r="AT17" s="111"/>
      <c r="AU17" s="111"/>
      <c r="AV17" s="111"/>
      <c r="AW17" s="111"/>
      <c r="AX17" s="111"/>
      <c r="AY17" s="111"/>
      <c r="AZ17" s="111"/>
      <c r="BA17" s="111"/>
      <c r="BB17" s="111"/>
      <c r="BC17" s="111"/>
      <c r="BD17" s="27"/>
      <c r="BE17" s="27"/>
      <c r="BF17" s="27"/>
      <c r="BG17" s="27"/>
      <c r="BH17" s="27"/>
      <c r="BI17" s="27"/>
      <c r="BJ17" s="27"/>
      <c r="BK17" s="27"/>
      <c r="BL17" s="27"/>
      <c r="BN17" s="15"/>
      <c r="BO17" s="15"/>
      <c r="BQ17" s="27"/>
      <c r="BS17" s="15"/>
      <c r="BU17" s="15"/>
      <c r="BV17" s="15"/>
      <c r="BW17" s="15"/>
      <c r="BX17" s="111"/>
      <c r="BY17" s="111"/>
      <c r="CC17" s="15"/>
      <c r="CD17" s="27"/>
      <c r="CF17" s="60"/>
      <c r="CG17" s="61"/>
    </row>
    <row r="18" spans="1:85">
      <c r="A18" s="155">
        <f t="shared" si="12"/>
        <v>14</v>
      </c>
      <c r="B18" s="156" t="s">
        <v>324</v>
      </c>
      <c r="C18" s="157" t="s">
        <v>297</v>
      </c>
      <c r="D18" s="157">
        <v>1</v>
      </c>
      <c r="E18" s="31" t="s">
        <v>274</v>
      </c>
      <c r="F18" s="157" t="s">
        <v>263</v>
      </c>
      <c r="G18" s="157" t="s">
        <v>54</v>
      </c>
      <c r="H18" s="254" t="s">
        <v>390</v>
      </c>
      <c r="I18" s="157"/>
      <c r="J18" s="143" t="s">
        <v>335</v>
      </c>
      <c r="K18" s="5" t="s">
        <v>281</v>
      </c>
      <c r="L18" s="156" t="s">
        <v>325</v>
      </c>
      <c r="M18" s="156" t="s">
        <v>57</v>
      </c>
      <c r="N18" s="191">
        <v>497</v>
      </c>
      <c r="O18" s="45">
        <f t="shared" si="2"/>
        <v>293230</v>
      </c>
      <c r="P18" s="158"/>
      <c r="Q18" s="141">
        <f t="shared" ref="Q18:Q27" si="24">R18*100/118</f>
        <v>500</v>
      </c>
      <c r="R18" s="160">
        <v>590</v>
      </c>
      <c r="S18" s="10">
        <f t="shared" si="3"/>
        <v>0</v>
      </c>
      <c r="T18" s="127">
        <v>50000</v>
      </c>
      <c r="U18" s="161"/>
      <c r="V18" s="131">
        <f t="shared" si="5"/>
        <v>-50000</v>
      </c>
      <c r="W18" s="136" t="e">
        <f t="shared" ref="W18:W20" si="25">SUM(T18:U18)/S18</f>
        <v>#DIV/0!</v>
      </c>
      <c r="X18" s="133"/>
      <c r="Y18" s="163">
        <v>0.25</v>
      </c>
      <c r="Z18" s="44">
        <f t="shared" ref="Z18:Z19" si="26">S18*Y18</f>
        <v>0</v>
      </c>
      <c r="AA18" s="173">
        <v>46113</v>
      </c>
      <c r="AB18" s="164"/>
      <c r="AC18" s="163">
        <v>0.25</v>
      </c>
      <c r="AD18" s="44">
        <f t="shared" si="21"/>
        <v>0</v>
      </c>
      <c r="AE18" s="173">
        <v>46174</v>
      </c>
      <c r="AF18" s="166"/>
      <c r="AG18" s="165">
        <v>0.25</v>
      </c>
      <c r="AH18" s="180">
        <f t="shared" si="22"/>
        <v>0</v>
      </c>
      <c r="AI18" s="173">
        <v>46266</v>
      </c>
      <c r="AJ18" s="127"/>
      <c r="AK18" s="165">
        <v>0.25</v>
      </c>
      <c r="AL18" s="127">
        <f t="shared" si="23"/>
        <v>0</v>
      </c>
      <c r="AM18" s="173">
        <v>46357</v>
      </c>
      <c r="AN18" s="127"/>
      <c r="AP18" s="240">
        <v>50000</v>
      </c>
      <c r="AQ18" s="241">
        <v>0</v>
      </c>
      <c r="AR18" s="240">
        <v>0</v>
      </c>
      <c r="AS18" s="60">
        <f t="shared" si="8"/>
        <v>-50000</v>
      </c>
      <c r="AT18" s="111"/>
      <c r="AU18" s="111"/>
      <c r="AV18" s="111"/>
      <c r="AW18" s="111"/>
      <c r="AX18" s="111"/>
      <c r="AY18" s="111"/>
      <c r="AZ18" s="111"/>
      <c r="BA18" s="111"/>
      <c r="BB18" s="111"/>
      <c r="BC18" s="111"/>
      <c r="BD18" s="27"/>
      <c r="BE18" s="27"/>
      <c r="BF18" s="27"/>
      <c r="BG18" s="27"/>
      <c r="BH18" s="27"/>
      <c r="BI18" s="27"/>
      <c r="BJ18" s="27"/>
      <c r="BK18" s="27"/>
      <c r="BL18" s="27"/>
      <c r="BN18" s="15"/>
      <c r="BO18" s="15"/>
      <c r="BQ18" s="27"/>
      <c r="BS18" s="15"/>
      <c r="BU18" s="15"/>
      <c r="BV18" s="15"/>
      <c r="BW18" s="15"/>
      <c r="BX18" s="111"/>
      <c r="BY18" s="111"/>
      <c r="CC18" s="15"/>
      <c r="CD18" s="27"/>
      <c r="CF18" s="60"/>
      <c r="CG18" s="61"/>
    </row>
    <row r="19" spans="1:85">
      <c r="A19" s="155">
        <f t="shared" si="12"/>
        <v>15</v>
      </c>
      <c r="B19" s="156" t="s">
        <v>299</v>
      </c>
      <c r="C19" s="157" t="s">
        <v>297</v>
      </c>
      <c r="D19" s="157">
        <v>1</v>
      </c>
      <c r="E19" s="31" t="s">
        <v>343</v>
      </c>
      <c r="F19" s="157" t="s">
        <v>263</v>
      </c>
      <c r="G19" s="157" t="s">
        <v>54</v>
      </c>
      <c r="H19" s="254" t="s">
        <v>391</v>
      </c>
      <c r="I19" s="157" t="s">
        <v>292</v>
      </c>
      <c r="J19" s="143" t="s">
        <v>335</v>
      </c>
      <c r="K19" s="5" t="s">
        <v>281</v>
      </c>
      <c r="L19" s="156" t="s">
        <v>101</v>
      </c>
      <c r="M19" s="156" t="s">
        <v>97</v>
      </c>
      <c r="N19" s="191">
        <v>800</v>
      </c>
      <c r="O19" s="45">
        <f t="shared" si="2"/>
        <v>720000</v>
      </c>
      <c r="P19" s="158">
        <v>800</v>
      </c>
      <c r="Q19" s="141">
        <f t="shared" si="24"/>
        <v>762.71186440677968</v>
      </c>
      <c r="R19" s="160">
        <v>900</v>
      </c>
      <c r="S19" s="10">
        <f t="shared" si="3"/>
        <v>720000</v>
      </c>
      <c r="T19" s="127">
        <f>72000+108000</f>
        <v>180000</v>
      </c>
      <c r="U19" s="161"/>
      <c r="V19" s="131">
        <f t="shared" si="5"/>
        <v>540000</v>
      </c>
      <c r="W19" s="136">
        <f t="shared" si="25"/>
        <v>0.25</v>
      </c>
      <c r="X19" s="133"/>
      <c r="Y19" s="183">
        <v>0.25</v>
      </c>
      <c r="Z19" s="226">
        <f t="shared" si="26"/>
        <v>180000</v>
      </c>
      <c r="AA19" s="185">
        <v>46113</v>
      </c>
      <c r="AB19" s="186" t="s">
        <v>145</v>
      </c>
      <c r="AC19" s="163">
        <v>0.25</v>
      </c>
      <c r="AD19" s="44">
        <f t="shared" si="21"/>
        <v>180000</v>
      </c>
      <c r="AE19" s="173">
        <v>46204</v>
      </c>
      <c r="AF19" s="166"/>
      <c r="AG19" s="165">
        <v>0.25</v>
      </c>
      <c r="AH19" s="180">
        <f t="shared" si="22"/>
        <v>180000</v>
      </c>
      <c r="AI19" s="173">
        <v>46296</v>
      </c>
      <c r="AJ19" s="127"/>
      <c r="AK19" s="165">
        <v>0.25</v>
      </c>
      <c r="AL19" s="127">
        <f t="shared" si="23"/>
        <v>180000</v>
      </c>
      <c r="AM19" s="173">
        <v>46388</v>
      </c>
      <c r="AN19" s="127"/>
      <c r="AP19" s="240">
        <v>0</v>
      </c>
      <c r="AQ19" s="241">
        <f t="shared" si="20"/>
        <v>180000</v>
      </c>
      <c r="AR19" s="240">
        <v>0</v>
      </c>
      <c r="AS19" s="60">
        <f t="shared" si="8"/>
        <v>540000</v>
      </c>
      <c r="AT19" s="111"/>
      <c r="AU19" s="111"/>
      <c r="AV19" s="111"/>
      <c r="AW19" s="111"/>
      <c r="AX19" s="111"/>
      <c r="AY19" s="111"/>
      <c r="AZ19" s="111"/>
      <c r="BA19" s="111"/>
      <c r="BB19" s="111"/>
      <c r="BC19" s="111"/>
      <c r="BD19" s="27"/>
      <c r="BE19" s="27"/>
      <c r="BF19" s="27"/>
      <c r="BG19" s="27"/>
      <c r="BH19" s="27"/>
      <c r="BI19" s="27"/>
      <c r="BJ19" s="27"/>
      <c r="BK19" s="27"/>
      <c r="BL19" s="27"/>
      <c r="BN19" s="15"/>
      <c r="BO19" s="15"/>
      <c r="BQ19" s="27"/>
      <c r="BS19" s="15"/>
      <c r="BU19" s="15"/>
      <c r="BV19" s="15"/>
      <c r="BW19" s="15"/>
      <c r="BX19" s="111"/>
      <c r="BY19" s="111"/>
      <c r="CC19" s="15"/>
      <c r="CD19" s="27"/>
      <c r="CF19" s="60"/>
      <c r="CG19" s="61"/>
    </row>
    <row r="20" spans="1:85">
      <c r="A20" s="197">
        <f t="shared" si="12"/>
        <v>16</v>
      </c>
      <c r="B20" s="156" t="s">
        <v>301</v>
      </c>
      <c r="C20" s="157" t="s">
        <v>297</v>
      </c>
      <c r="D20" s="157">
        <v>1</v>
      </c>
      <c r="E20" s="31" t="s">
        <v>300</v>
      </c>
      <c r="F20" s="157" t="s">
        <v>183</v>
      </c>
      <c r="G20" s="157" t="s">
        <v>54</v>
      </c>
      <c r="H20" s="254" t="s">
        <v>301</v>
      </c>
      <c r="I20" s="157"/>
      <c r="J20" s="143" t="s">
        <v>335</v>
      </c>
      <c r="K20" s="5" t="s">
        <v>281</v>
      </c>
      <c r="L20" s="156" t="s">
        <v>144</v>
      </c>
      <c r="M20" s="156" t="s">
        <v>143</v>
      </c>
      <c r="N20" s="191">
        <v>2000</v>
      </c>
      <c r="O20" s="45">
        <f t="shared" si="2"/>
        <v>2478000</v>
      </c>
      <c r="P20" s="201"/>
      <c r="Q20" s="141">
        <f t="shared" si="24"/>
        <v>1050</v>
      </c>
      <c r="R20" s="202">
        <v>1239</v>
      </c>
      <c r="S20" s="10">
        <f t="shared" si="3"/>
        <v>0</v>
      </c>
      <c r="T20" s="127"/>
      <c r="U20" s="161"/>
      <c r="V20" s="131">
        <f t="shared" si="5"/>
        <v>0</v>
      </c>
      <c r="W20" s="136" t="e">
        <f t="shared" si="25"/>
        <v>#DIV/0!</v>
      </c>
      <c r="X20" s="133"/>
      <c r="Y20" s="208"/>
      <c r="Z20" s="209"/>
      <c r="AA20" s="210"/>
      <c r="AB20" s="211"/>
      <c r="AC20" s="212"/>
      <c r="AD20" s="209"/>
      <c r="AE20" s="210"/>
      <c r="AF20" s="213"/>
      <c r="AG20" s="214"/>
      <c r="AH20" s="214"/>
      <c r="AI20" s="210"/>
      <c r="AJ20" s="209"/>
      <c r="AK20" s="214"/>
      <c r="AL20" s="209"/>
      <c r="AM20" s="210"/>
      <c r="AN20" s="209"/>
      <c r="AP20" s="240">
        <v>0</v>
      </c>
      <c r="AQ20" s="241">
        <f t="shared" si="20"/>
        <v>0</v>
      </c>
      <c r="AR20" s="240">
        <v>0</v>
      </c>
      <c r="AS20" s="60">
        <f t="shared" si="8"/>
        <v>0</v>
      </c>
      <c r="AT20" s="120"/>
      <c r="AU20" s="120"/>
      <c r="AV20" s="120"/>
      <c r="AW20" s="120"/>
      <c r="AX20" s="120"/>
      <c r="AY20" s="120"/>
      <c r="AZ20" s="120"/>
      <c r="BA20" s="120"/>
      <c r="BB20" s="120"/>
      <c r="BC20" s="120"/>
      <c r="BD20" s="27"/>
      <c r="BE20" s="27"/>
      <c r="BF20" s="27"/>
      <c r="BG20" s="27"/>
      <c r="BH20" s="27"/>
      <c r="BI20" s="27"/>
      <c r="BJ20" s="27"/>
      <c r="BK20" s="27"/>
      <c r="BL20" s="27"/>
      <c r="BN20" s="15"/>
      <c r="BO20" s="15"/>
      <c r="BQ20" s="27"/>
      <c r="BS20" s="15"/>
      <c r="BU20" s="15"/>
      <c r="BV20" s="15"/>
      <c r="BW20" s="15"/>
      <c r="BX20" s="120"/>
      <c r="BY20" s="120"/>
      <c r="CC20" s="15"/>
      <c r="CD20" s="27"/>
      <c r="CF20" s="60"/>
      <c r="CG20" s="203"/>
    </row>
    <row r="21" spans="1:85">
      <c r="A21" s="155">
        <f t="shared" si="12"/>
        <v>17</v>
      </c>
      <c r="B21" s="40" t="s">
        <v>306</v>
      </c>
      <c r="C21" s="157" t="s">
        <v>297</v>
      </c>
      <c r="D21" s="31">
        <v>1</v>
      </c>
      <c r="E21" s="31" t="s">
        <v>284</v>
      </c>
      <c r="F21" s="31" t="s">
        <v>263</v>
      </c>
      <c r="G21" s="31" t="s">
        <v>54</v>
      </c>
      <c r="H21" s="254" t="s">
        <v>306</v>
      </c>
      <c r="I21" s="78" t="s">
        <v>183</v>
      </c>
      <c r="J21" s="143" t="s">
        <v>336</v>
      </c>
      <c r="K21" s="156" t="s">
        <v>105</v>
      </c>
      <c r="L21" s="5" t="s">
        <v>307</v>
      </c>
      <c r="M21" s="5" t="s">
        <v>57</v>
      </c>
      <c r="N21" s="193">
        <v>523</v>
      </c>
      <c r="O21" s="45">
        <f t="shared" si="2"/>
        <v>1359800</v>
      </c>
      <c r="P21" s="8">
        <v>523</v>
      </c>
      <c r="Q21" s="141">
        <f t="shared" si="24"/>
        <v>2203.3898305084745</v>
      </c>
      <c r="R21" s="41">
        <v>2600</v>
      </c>
      <c r="S21" s="10">
        <f t="shared" si="3"/>
        <v>1359800</v>
      </c>
      <c r="T21" s="44">
        <v>50000</v>
      </c>
      <c r="U21" s="5"/>
      <c r="V21" s="131">
        <f t="shared" si="5"/>
        <v>1309800</v>
      </c>
      <c r="W21" s="136">
        <f t="shared" ref="W21" si="27">SUM(T21:U21)/S21</f>
        <v>3.6770113251948816E-2</v>
      </c>
      <c r="X21" s="133"/>
      <c r="Y21" s="183"/>
      <c r="Z21" s="184">
        <v>50000</v>
      </c>
      <c r="AA21" s="185">
        <v>46082</v>
      </c>
      <c r="AB21" s="186" t="s">
        <v>145</v>
      </c>
      <c r="AC21" s="165">
        <v>0.25</v>
      </c>
      <c r="AD21" s="127">
        <f>V21*AC21</f>
        <v>327450</v>
      </c>
      <c r="AE21" s="173">
        <v>46174</v>
      </c>
      <c r="AF21" s="166"/>
      <c r="AG21" s="165">
        <v>0.25</v>
      </c>
      <c r="AH21" s="179">
        <f>AD21</f>
        <v>327450</v>
      </c>
      <c r="AI21" s="173">
        <v>46266</v>
      </c>
      <c r="AJ21" s="127"/>
      <c r="AK21" s="165">
        <v>0.25</v>
      </c>
      <c r="AL21" s="127">
        <f>AH21</f>
        <v>327450</v>
      </c>
      <c r="AM21" s="173">
        <v>46357</v>
      </c>
      <c r="AN21" s="127"/>
      <c r="AP21" s="240">
        <v>0</v>
      </c>
      <c r="AQ21" s="241">
        <f t="shared" si="20"/>
        <v>50000</v>
      </c>
      <c r="AR21" s="240">
        <v>0</v>
      </c>
      <c r="AS21" s="60">
        <f t="shared" si="8"/>
        <v>1309800</v>
      </c>
      <c r="AT21" s="111"/>
      <c r="AU21" s="111"/>
      <c r="AV21" s="111"/>
      <c r="AW21" s="111"/>
      <c r="AX21" s="111"/>
      <c r="AY21" s="111"/>
      <c r="AZ21" s="111"/>
      <c r="BA21" s="111"/>
      <c r="BB21" s="111"/>
      <c r="BC21" s="111"/>
      <c r="BD21" s="27"/>
      <c r="BE21" s="27"/>
      <c r="BF21" s="27"/>
      <c r="BG21" s="27"/>
      <c r="BH21" s="27"/>
      <c r="BI21" s="27"/>
      <c r="BJ21" s="27"/>
      <c r="BK21" s="27"/>
      <c r="BL21" s="27"/>
      <c r="BN21" s="15"/>
      <c r="BO21" s="15"/>
      <c r="BQ21" s="27"/>
      <c r="BS21" s="15"/>
      <c r="BU21" s="15"/>
      <c r="BV21" s="15"/>
      <c r="BW21" s="15"/>
      <c r="BX21" s="111"/>
      <c r="BY21" s="111"/>
      <c r="CC21" s="15"/>
      <c r="CD21" s="27"/>
      <c r="CF21" s="60"/>
      <c r="CG21" s="61"/>
    </row>
    <row r="22" spans="1:85">
      <c r="A22" s="155">
        <f t="shared" si="12"/>
        <v>18</v>
      </c>
      <c r="B22" s="40" t="s">
        <v>308</v>
      </c>
      <c r="C22" s="157" t="s">
        <v>297</v>
      </c>
      <c r="D22" s="31">
        <v>1</v>
      </c>
      <c r="E22" s="31" t="s">
        <v>270</v>
      </c>
      <c r="F22" s="31" t="s">
        <v>183</v>
      </c>
      <c r="G22" s="31" t="s">
        <v>54</v>
      </c>
      <c r="H22" s="254" t="s">
        <v>392</v>
      </c>
      <c r="I22" s="78"/>
      <c r="J22" s="143" t="s">
        <v>335</v>
      </c>
      <c r="K22" s="5" t="s">
        <v>281</v>
      </c>
      <c r="L22" s="5" t="s">
        <v>309</v>
      </c>
      <c r="M22" s="5" t="s">
        <v>97</v>
      </c>
      <c r="N22" s="193">
        <v>1700</v>
      </c>
      <c r="O22" s="45">
        <f t="shared" si="2"/>
        <v>3400000</v>
      </c>
      <c r="P22" s="30"/>
      <c r="Q22" s="141">
        <f t="shared" si="24"/>
        <v>1694.9152542372881</v>
      </c>
      <c r="R22" s="141">
        <v>2000</v>
      </c>
      <c r="S22" s="10">
        <f t="shared" si="3"/>
        <v>0</v>
      </c>
      <c r="T22" s="44">
        <v>7000</v>
      </c>
      <c r="U22" s="5"/>
      <c r="V22" s="131">
        <f t="shared" si="5"/>
        <v>-7000</v>
      </c>
      <c r="W22" s="136" t="e">
        <f t="shared" ref="W22:W46" si="28">SUM(T22:U22)/S22</f>
        <v>#DIV/0!</v>
      </c>
      <c r="X22" s="133"/>
      <c r="Y22" s="163">
        <v>0.05</v>
      </c>
      <c r="Z22" s="44">
        <f t="shared" ref="Z22" si="29">S22*Y22</f>
        <v>0</v>
      </c>
      <c r="AA22" s="173" t="s">
        <v>339</v>
      </c>
      <c r="AB22" s="164"/>
      <c r="AC22" s="165">
        <v>0.95</v>
      </c>
      <c r="AD22" s="127">
        <f>V22*AC22</f>
        <v>-6650</v>
      </c>
      <c r="AE22" s="173" t="s">
        <v>340</v>
      </c>
      <c r="AF22" s="166"/>
      <c r="AG22" s="165"/>
      <c r="AH22" s="165"/>
      <c r="AI22" s="173"/>
      <c r="AJ22" s="127"/>
      <c r="AK22" s="165"/>
      <c r="AL22" s="127"/>
      <c r="AM22" s="173"/>
      <c r="AN22" s="127"/>
      <c r="AP22" s="240">
        <v>7000</v>
      </c>
      <c r="AQ22" s="241">
        <v>0</v>
      </c>
      <c r="AR22" s="240">
        <v>0</v>
      </c>
      <c r="AS22" s="60">
        <f t="shared" si="8"/>
        <v>-7000</v>
      </c>
      <c r="AT22" s="111"/>
      <c r="AU22" s="111"/>
      <c r="AV22" s="111"/>
      <c r="AW22" s="111"/>
      <c r="AX22" s="111"/>
      <c r="AY22" s="111"/>
      <c r="AZ22" s="111"/>
      <c r="BA22" s="111"/>
      <c r="BB22" s="111"/>
      <c r="BC22" s="111"/>
      <c r="BD22" s="27"/>
      <c r="BE22" s="27"/>
      <c r="BF22" s="27"/>
      <c r="BG22" s="27"/>
      <c r="BH22" s="27"/>
      <c r="BI22" s="27"/>
      <c r="BJ22" s="27"/>
      <c r="BK22" s="27"/>
      <c r="BL22" s="27"/>
      <c r="BN22" s="15"/>
      <c r="BO22" s="15"/>
      <c r="BQ22" s="27"/>
      <c r="BS22" s="15"/>
      <c r="BU22" s="15"/>
      <c r="BV22" s="15"/>
      <c r="BW22" s="15"/>
      <c r="BX22" s="111"/>
      <c r="BY22" s="111"/>
      <c r="CC22" s="15"/>
      <c r="CD22" s="27"/>
      <c r="CF22" s="60"/>
      <c r="CG22" s="61"/>
    </row>
    <row r="23" spans="1:85">
      <c r="A23" s="155">
        <f t="shared" si="12"/>
        <v>19</v>
      </c>
      <c r="B23" s="40" t="s">
        <v>310</v>
      </c>
      <c r="C23" s="157" t="s">
        <v>297</v>
      </c>
      <c r="D23" s="31">
        <v>1</v>
      </c>
      <c r="E23" s="31" t="s">
        <v>360</v>
      </c>
      <c r="F23" s="31" t="s">
        <v>263</v>
      </c>
      <c r="G23" s="31" t="s">
        <v>54</v>
      </c>
      <c r="H23" s="254" t="s">
        <v>393</v>
      </c>
      <c r="I23" s="78"/>
      <c r="J23" s="143" t="s">
        <v>335</v>
      </c>
      <c r="K23" s="156" t="s">
        <v>105</v>
      </c>
      <c r="L23" s="5" t="s">
        <v>311</v>
      </c>
      <c r="M23" s="5" t="s">
        <v>312</v>
      </c>
      <c r="N23" s="193">
        <v>152</v>
      </c>
      <c r="O23" s="45">
        <f t="shared" si="2"/>
        <v>182400</v>
      </c>
      <c r="P23" s="30">
        <v>152</v>
      </c>
      <c r="Q23" s="141">
        <f t="shared" si="24"/>
        <v>1016.9491525423729</v>
      </c>
      <c r="R23" s="141">
        <v>1200</v>
      </c>
      <c r="S23" s="10">
        <f t="shared" si="3"/>
        <v>182400</v>
      </c>
      <c r="T23" s="44">
        <v>45600</v>
      </c>
      <c r="U23" s="5"/>
      <c r="V23" s="131">
        <f t="shared" si="5"/>
        <v>136800</v>
      </c>
      <c r="W23" s="136">
        <f t="shared" si="28"/>
        <v>0.25</v>
      </c>
      <c r="X23" s="133"/>
      <c r="Y23" s="183">
        <v>0.25</v>
      </c>
      <c r="Z23" s="184">
        <v>45600</v>
      </c>
      <c r="AA23" s="185">
        <v>46082</v>
      </c>
      <c r="AB23" s="186" t="s">
        <v>145</v>
      </c>
      <c r="AC23" s="165">
        <v>0.25</v>
      </c>
      <c r="AD23" s="44">
        <f t="shared" ref="AD23:AD25" si="30">S23*AC23</f>
        <v>45600</v>
      </c>
      <c r="AE23" s="173">
        <v>46174</v>
      </c>
      <c r="AF23" s="166"/>
      <c r="AG23" s="165">
        <v>0.25</v>
      </c>
      <c r="AH23" s="180">
        <f t="shared" ref="AH23:AH25" si="31">S23*AG23</f>
        <v>45600</v>
      </c>
      <c r="AI23" s="173">
        <v>46266</v>
      </c>
      <c r="AJ23" s="127"/>
      <c r="AK23" s="165">
        <v>0.25</v>
      </c>
      <c r="AL23" s="127">
        <f>AH23</f>
        <v>45600</v>
      </c>
      <c r="AM23" s="173">
        <v>46357</v>
      </c>
      <c r="AN23" s="127"/>
      <c r="AP23" s="240">
        <v>0</v>
      </c>
      <c r="AQ23" s="241">
        <f t="shared" si="20"/>
        <v>45600</v>
      </c>
      <c r="AR23" s="240">
        <v>0</v>
      </c>
      <c r="AS23" s="60">
        <f t="shared" si="8"/>
        <v>136800</v>
      </c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27"/>
      <c r="BE23" s="27"/>
      <c r="BF23" s="27"/>
      <c r="BG23" s="27"/>
      <c r="BH23" s="27"/>
      <c r="BI23" s="27"/>
      <c r="BJ23" s="27"/>
      <c r="BK23" s="27"/>
      <c r="BL23" s="27"/>
      <c r="BN23" s="15"/>
      <c r="BO23" s="15"/>
      <c r="BQ23" s="27"/>
      <c r="BS23" s="15"/>
      <c r="BU23" s="15"/>
      <c r="BV23" s="15"/>
      <c r="BW23" s="15"/>
      <c r="BX23" s="111"/>
      <c r="BY23" s="111"/>
      <c r="CC23" s="15"/>
      <c r="CD23" s="27"/>
      <c r="CF23" s="60"/>
      <c r="CG23" s="61"/>
    </row>
    <row r="24" spans="1:85">
      <c r="A24" s="155">
        <f t="shared" si="12"/>
        <v>20</v>
      </c>
      <c r="B24" s="40" t="s">
        <v>313</v>
      </c>
      <c r="C24" s="157" t="s">
        <v>297</v>
      </c>
      <c r="D24" s="31">
        <v>1</v>
      </c>
      <c r="E24" s="31" t="s">
        <v>269</v>
      </c>
      <c r="F24" s="31" t="s">
        <v>183</v>
      </c>
      <c r="G24" s="31" t="s">
        <v>54</v>
      </c>
      <c r="H24" s="254" t="s">
        <v>394</v>
      </c>
      <c r="I24" s="78"/>
      <c r="J24" s="206" t="s">
        <v>336</v>
      </c>
      <c r="K24" s="156" t="s">
        <v>294</v>
      </c>
      <c r="L24" s="5" t="s">
        <v>314</v>
      </c>
      <c r="M24" s="5" t="s">
        <v>57</v>
      </c>
      <c r="N24" s="193">
        <v>187</v>
      </c>
      <c r="O24" s="45">
        <f t="shared" si="2"/>
        <v>198594</v>
      </c>
      <c r="P24" s="30">
        <v>187</v>
      </c>
      <c r="Q24" s="141">
        <f t="shared" si="24"/>
        <v>900</v>
      </c>
      <c r="R24" s="141">
        <v>1062</v>
      </c>
      <c r="S24" s="10">
        <f t="shared" si="3"/>
        <v>198594</v>
      </c>
      <c r="T24" s="44">
        <v>45440</v>
      </c>
      <c r="U24" s="5">
        <v>4209</v>
      </c>
      <c r="V24" s="131">
        <f t="shared" si="5"/>
        <v>148945</v>
      </c>
      <c r="W24" s="136">
        <f t="shared" si="28"/>
        <v>0.250002517699427</v>
      </c>
      <c r="X24" s="133"/>
      <c r="Y24" s="183">
        <v>0.25</v>
      </c>
      <c r="Z24" s="226">
        <f t="shared" ref="Z24:Z25" si="32">S24*Y24</f>
        <v>49648.5</v>
      </c>
      <c r="AA24" s="185">
        <v>46082</v>
      </c>
      <c r="AB24" s="186" t="s">
        <v>145</v>
      </c>
      <c r="AC24" s="165">
        <v>0.375</v>
      </c>
      <c r="AD24" s="44">
        <f t="shared" si="30"/>
        <v>74472.75</v>
      </c>
      <c r="AE24" s="173">
        <v>46174</v>
      </c>
      <c r="AF24" s="166"/>
      <c r="AG24" s="165">
        <v>0.375</v>
      </c>
      <c r="AH24" s="180">
        <f t="shared" si="31"/>
        <v>74472.75</v>
      </c>
      <c r="AI24" s="173">
        <v>46357</v>
      </c>
      <c r="AJ24" s="127"/>
      <c r="AK24" s="165"/>
      <c r="AL24" s="127"/>
      <c r="AM24" s="173"/>
      <c r="AN24" s="127"/>
      <c r="AP24" s="240">
        <v>0</v>
      </c>
      <c r="AQ24" s="241">
        <f t="shared" si="20"/>
        <v>49649</v>
      </c>
      <c r="AR24" s="240">
        <v>0</v>
      </c>
      <c r="AS24" s="60">
        <f t="shared" si="8"/>
        <v>148945</v>
      </c>
      <c r="AT24" s="111"/>
      <c r="AU24" s="111"/>
      <c r="AV24" s="111"/>
      <c r="AW24" s="111"/>
      <c r="AX24" s="111"/>
      <c r="AY24" s="111"/>
      <c r="AZ24" s="111"/>
      <c r="BA24" s="111"/>
      <c r="BB24" s="111"/>
      <c r="BC24" s="111"/>
      <c r="BD24" s="27"/>
      <c r="BE24" s="27"/>
      <c r="BF24" s="27"/>
      <c r="BG24" s="27"/>
      <c r="BH24" s="27"/>
      <c r="BI24" s="27"/>
      <c r="BJ24" s="27"/>
      <c r="BK24" s="27"/>
      <c r="BL24" s="27"/>
      <c r="BN24" s="15"/>
      <c r="BO24" s="15"/>
      <c r="BQ24" s="27"/>
      <c r="BS24" s="15"/>
      <c r="BU24" s="15"/>
      <c r="BV24" s="15"/>
      <c r="BW24" s="15"/>
      <c r="BX24" s="111"/>
      <c r="BY24" s="111"/>
      <c r="CC24" s="15"/>
      <c r="CD24" s="27"/>
      <c r="CF24" s="60"/>
      <c r="CG24" s="61"/>
    </row>
    <row r="25" spans="1:85">
      <c r="A25" s="155">
        <f t="shared" si="12"/>
        <v>21</v>
      </c>
      <c r="B25" s="225" t="s">
        <v>319</v>
      </c>
      <c r="C25" s="157" t="s">
        <v>297</v>
      </c>
      <c r="D25" s="31">
        <v>1</v>
      </c>
      <c r="E25" s="31" t="s">
        <v>277</v>
      </c>
      <c r="F25" s="31" t="s">
        <v>263</v>
      </c>
      <c r="G25" s="31" t="s">
        <v>54</v>
      </c>
      <c r="H25" s="254" t="s">
        <v>395</v>
      </c>
      <c r="I25" s="78"/>
      <c r="J25" s="143" t="s">
        <v>335</v>
      </c>
      <c r="K25" s="5" t="s">
        <v>281</v>
      </c>
      <c r="L25" s="5" t="s">
        <v>320</v>
      </c>
      <c r="M25" s="5" t="s">
        <v>321</v>
      </c>
      <c r="N25" s="193">
        <v>700</v>
      </c>
      <c r="O25" s="45">
        <f t="shared" si="2"/>
        <v>560000</v>
      </c>
      <c r="P25" s="30">
        <v>757</v>
      </c>
      <c r="Q25" s="141">
        <f t="shared" si="24"/>
        <v>677.96610169491521</v>
      </c>
      <c r="R25" s="141">
        <v>800</v>
      </c>
      <c r="S25" s="10">
        <f t="shared" si="3"/>
        <v>605600</v>
      </c>
      <c r="T25" s="44">
        <f>121120</f>
        <v>121120</v>
      </c>
      <c r="U25" s="5"/>
      <c r="V25" s="131">
        <f t="shared" si="5"/>
        <v>484480</v>
      </c>
      <c r="W25" s="136">
        <f t="shared" si="28"/>
        <v>0.2</v>
      </c>
      <c r="X25" s="133"/>
      <c r="Y25" s="183">
        <v>0.2</v>
      </c>
      <c r="Z25" s="226">
        <f t="shared" si="32"/>
        <v>121120</v>
      </c>
      <c r="AA25" s="185">
        <v>46113</v>
      </c>
      <c r="AB25" s="186" t="s">
        <v>145</v>
      </c>
      <c r="AC25" s="165">
        <v>0.4</v>
      </c>
      <c r="AD25" s="44">
        <f t="shared" si="30"/>
        <v>242240</v>
      </c>
      <c r="AE25" s="173">
        <v>46174</v>
      </c>
      <c r="AF25" s="166"/>
      <c r="AG25" s="165">
        <v>0.4</v>
      </c>
      <c r="AH25" s="180">
        <f t="shared" si="31"/>
        <v>242240</v>
      </c>
      <c r="AI25" s="173">
        <v>46266</v>
      </c>
      <c r="AJ25" s="127"/>
      <c r="AK25" s="165"/>
      <c r="AL25" s="127"/>
      <c r="AM25" s="173"/>
      <c r="AN25" s="127"/>
      <c r="AP25" s="240">
        <v>0</v>
      </c>
      <c r="AQ25" s="241">
        <f t="shared" si="20"/>
        <v>121120</v>
      </c>
      <c r="AR25" s="240">
        <v>0</v>
      </c>
      <c r="AS25" s="60">
        <f t="shared" si="8"/>
        <v>484480</v>
      </c>
      <c r="AT25" s="111"/>
      <c r="AU25" s="111"/>
      <c r="AV25" s="111"/>
      <c r="AW25" s="111"/>
      <c r="AX25" s="111"/>
      <c r="AY25" s="111"/>
      <c r="AZ25" s="111"/>
      <c r="BA25" s="111"/>
      <c r="BB25" s="111"/>
      <c r="BC25" s="111"/>
      <c r="BD25" s="27"/>
      <c r="BE25" s="27"/>
      <c r="BF25" s="27"/>
      <c r="BG25" s="27"/>
      <c r="BH25" s="27"/>
      <c r="BI25" s="27"/>
      <c r="BJ25" s="27"/>
      <c r="BK25" s="27"/>
      <c r="BL25" s="27"/>
      <c r="BN25" s="15"/>
      <c r="BO25" s="15"/>
      <c r="BQ25" s="27"/>
      <c r="BS25" s="15"/>
      <c r="BU25" s="15"/>
      <c r="BV25" s="15"/>
      <c r="BW25" s="15"/>
      <c r="BX25" s="111"/>
      <c r="BY25" s="111"/>
      <c r="CC25" s="15"/>
      <c r="CD25" s="27"/>
      <c r="CF25" s="60"/>
      <c r="CG25" s="61"/>
    </row>
    <row r="26" spans="1:85">
      <c r="A26" s="155">
        <f t="shared" si="12"/>
        <v>22</v>
      </c>
      <c r="B26" s="181" t="s">
        <v>322</v>
      </c>
      <c r="C26" s="157" t="s">
        <v>297</v>
      </c>
      <c r="D26" s="31">
        <v>1</v>
      </c>
      <c r="E26" s="31" t="s">
        <v>269</v>
      </c>
      <c r="F26" s="31" t="s">
        <v>263</v>
      </c>
      <c r="G26" s="31" t="s">
        <v>54</v>
      </c>
      <c r="H26" s="254" t="s">
        <v>322</v>
      </c>
      <c r="I26" s="78"/>
      <c r="J26" s="143" t="s">
        <v>335</v>
      </c>
      <c r="K26" s="5" t="s">
        <v>281</v>
      </c>
      <c r="L26" s="5" t="s">
        <v>56</v>
      </c>
      <c r="M26" s="5" t="s">
        <v>57</v>
      </c>
      <c r="N26" s="193">
        <v>280</v>
      </c>
      <c r="O26" s="45">
        <f t="shared" si="2"/>
        <v>165200</v>
      </c>
      <c r="P26" s="30">
        <v>280</v>
      </c>
      <c r="Q26" s="141">
        <f t="shared" si="24"/>
        <v>500</v>
      </c>
      <c r="R26" s="141">
        <v>590</v>
      </c>
      <c r="S26" s="10">
        <f t="shared" si="3"/>
        <v>165200</v>
      </c>
      <c r="T26" s="44">
        <v>162400</v>
      </c>
      <c r="U26" s="5">
        <v>2800</v>
      </c>
      <c r="V26" s="131">
        <f t="shared" si="5"/>
        <v>0</v>
      </c>
      <c r="W26" s="136">
        <f t="shared" ref="W26" si="33">SUM(T26:U26)/S26</f>
        <v>1</v>
      </c>
      <c r="X26" s="133"/>
      <c r="Y26" s="183">
        <v>1</v>
      </c>
      <c r="Z26" s="184">
        <f>S26*Y26</f>
        <v>165200</v>
      </c>
      <c r="AA26" s="185">
        <v>46113</v>
      </c>
      <c r="AB26" s="186" t="s">
        <v>145</v>
      </c>
      <c r="AC26" s="165"/>
      <c r="AD26" s="127"/>
      <c r="AE26" s="173"/>
      <c r="AF26" s="166"/>
      <c r="AG26" s="165"/>
      <c r="AH26" s="165"/>
      <c r="AI26" s="173"/>
      <c r="AJ26" s="127"/>
      <c r="AK26" s="165"/>
      <c r="AL26" s="127"/>
      <c r="AM26" s="173"/>
      <c r="AN26" s="127"/>
      <c r="AP26" s="240">
        <v>0</v>
      </c>
      <c r="AQ26" s="241">
        <f t="shared" si="20"/>
        <v>165200</v>
      </c>
      <c r="AR26" s="240">
        <v>0</v>
      </c>
      <c r="AS26" s="60">
        <f t="shared" si="8"/>
        <v>0</v>
      </c>
      <c r="AT26" s="111"/>
      <c r="AU26" s="111"/>
      <c r="AV26" s="111"/>
      <c r="AW26" s="111"/>
      <c r="AX26" s="111"/>
      <c r="AY26" s="111"/>
      <c r="AZ26" s="111"/>
      <c r="BA26" s="111"/>
      <c r="BB26" s="111"/>
      <c r="BC26" s="111"/>
      <c r="BD26" s="27"/>
      <c r="BE26" s="27"/>
      <c r="BF26" s="27"/>
      <c r="BG26" s="27"/>
      <c r="BH26" s="27"/>
      <c r="BI26" s="27"/>
      <c r="BJ26" s="27"/>
      <c r="BK26" s="27"/>
      <c r="BL26" s="27"/>
      <c r="BN26" s="15"/>
      <c r="BO26" s="15"/>
      <c r="BQ26" s="27"/>
      <c r="BS26" s="15"/>
      <c r="BU26" s="15"/>
      <c r="BV26" s="15"/>
      <c r="BW26" s="15"/>
      <c r="BX26" s="111"/>
      <c r="BY26" s="111"/>
      <c r="CC26" s="15"/>
      <c r="CD26" s="27"/>
      <c r="CF26" s="60"/>
      <c r="CG26" s="61"/>
    </row>
    <row r="27" spans="1:85">
      <c r="A27" s="155">
        <f t="shared" si="12"/>
        <v>23</v>
      </c>
      <c r="B27" s="225" t="s">
        <v>352</v>
      </c>
      <c r="C27" s="157" t="s">
        <v>297</v>
      </c>
      <c r="D27" s="31">
        <v>1</v>
      </c>
      <c r="E27" s="31" t="s">
        <v>353</v>
      </c>
      <c r="F27" s="31" t="s">
        <v>263</v>
      </c>
      <c r="G27" s="31" t="s">
        <v>54</v>
      </c>
      <c r="H27" s="254" t="s">
        <v>396</v>
      </c>
      <c r="I27" s="78"/>
      <c r="J27" s="206" t="s">
        <v>336</v>
      </c>
      <c r="K27" s="5" t="s">
        <v>354</v>
      </c>
      <c r="L27" s="5" t="s">
        <v>355</v>
      </c>
      <c r="M27" s="5" t="s">
        <v>356</v>
      </c>
      <c r="N27" s="193">
        <v>510</v>
      </c>
      <c r="O27" s="45">
        <f t="shared" si="2"/>
        <v>541620</v>
      </c>
      <c r="P27" s="30"/>
      <c r="Q27" s="141">
        <f t="shared" si="24"/>
        <v>900</v>
      </c>
      <c r="R27" s="141">
        <v>1062</v>
      </c>
      <c r="S27" s="10">
        <f t="shared" si="3"/>
        <v>0</v>
      </c>
      <c r="T27" s="44"/>
      <c r="U27" s="5"/>
      <c r="V27" s="131">
        <f t="shared" si="5"/>
        <v>0</v>
      </c>
      <c r="W27" s="136" t="e">
        <f t="shared" si="28"/>
        <v>#DIV/0!</v>
      </c>
      <c r="X27" s="133"/>
      <c r="Y27" s="163">
        <v>0.25</v>
      </c>
      <c r="Z27" s="44">
        <f t="shared" ref="Z27" si="34">S27*Y27</f>
        <v>0</v>
      </c>
      <c r="AA27" s="173">
        <v>46113</v>
      </c>
      <c r="AB27" s="127"/>
      <c r="AC27" s="165">
        <v>0.25</v>
      </c>
      <c r="AD27" s="44">
        <f t="shared" ref="AD27" si="35">S27*AC27</f>
        <v>0</v>
      </c>
      <c r="AE27" s="217" t="s">
        <v>330</v>
      </c>
      <c r="AF27" s="127"/>
      <c r="AG27" s="165">
        <v>0.25</v>
      </c>
      <c r="AH27" s="180">
        <f t="shared" ref="AH27" si="36">S27*AG27</f>
        <v>0</v>
      </c>
      <c r="AI27" s="173">
        <v>46266</v>
      </c>
      <c r="AJ27" s="127"/>
      <c r="AK27" s="165">
        <v>0.25</v>
      </c>
      <c r="AL27" s="127">
        <f>AH27</f>
        <v>0</v>
      </c>
      <c r="AM27" s="173">
        <v>46357</v>
      </c>
      <c r="AN27" s="127"/>
      <c r="AP27" s="240">
        <v>0</v>
      </c>
      <c r="AQ27" s="241">
        <f t="shared" si="20"/>
        <v>0</v>
      </c>
      <c r="AR27" s="240">
        <v>0</v>
      </c>
      <c r="AS27" s="60">
        <f t="shared" si="8"/>
        <v>0</v>
      </c>
      <c r="AT27" s="111"/>
      <c r="AU27" s="111"/>
      <c r="AV27" s="111"/>
      <c r="AW27" s="111"/>
      <c r="AX27" s="111"/>
      <c r="AY27" s="111"/>
      <c r="AZ27" s="111"/>
      <c r="BA27" s="111"/>
      <c r="BB27" s="111"/>
      <c r="BC27" s="111"/>
      <c r="BD27" s="27"/>
      <c r="BE27" s="27"/>
      <c r="BF27" s="27"/>
      <c r="BG27" s="27"/>
      <c r="BH27" s="27"/>
      <c r="BI27" s="27"/>
      <c r="BJ27" s="27"/>
      <c r="BK27" s="27"/>
      <c r="BL27" s="27"/>
      <c r="BN27" s="15"/>
      <c r="BO27" s="15"/>
      <c r="BQ27" s="27"/>
      <c r="BS27" s="15"/>
      <c r="BU27" s="15"/>
      <c r="BV27" s="15"/>
      <c r="BW27" s="15"/>
      <c r="BX27" s="111"/>
      <c r="BY27" s="111"/>
      <c r="CC27" s="15"/>
      <c r="CD27" s="27"/>
      <c r="CF27" s="60"/>
      <c r="CG27" s="61"/>
    </row>
    <row r="28" spans="1:85">
      <c r="A28" s="155">
        <f t="shared" si="12"/>
        <v>24</v>
      </c>
      <c r="B28" s="247" t="s">
        <v>378</v>
      </c>
      <c r="C28" s="157" t="s">
        <v>297</v>
      </c>
      <c r="D28" s="31">
        <v>1</v>
      </c>
      <c r="E28" s="31"/>
      <c r="F28" s="31" t="s">
        <v>263</v>
      </c>
      <c r="G28" s="31" t="s">
        <v>54</v>
      </c>
      <c r="H28" s="254" t="s">
        <v>378</v>
      </c>
      <c r="I28" s="78"/>
      <c r="J28" s="206" t="s">
        <v>336</v>
      </c>
      <c r="K28" s="5" t="s">
        <v>105</v>
      </c>
      <c r="L28" s="5" t="s">
        <v>379</v>
      </c>
      <c r="M28" s="5" t="s">
        <v>318</v>
      </c>
      <c r="N28" s="193">
        <v>210</v>
      </c>
      <c r="O28" s="45">
        <f t="shared" ref="O28:O29" si="37">N28*R28</f>
        <v>189000</v>
      </c>
      <c r="P28" s="30"/>
      <c r="Q28" s="141">
        <f t="shared" ref="Q28:Q29" si="38">R28*100/118</f>
        <v>762.71186440677968</v>
      </c>
      <c r="R28" s="141">
        <v>900</v>
      </c>
      <c r="S28" s="10">
        <f t="shared" ref="S28:S29" si="39">P28*R28</f>
        <v>0</v>
      </c>
      <c r="T28" s="44"/>
      <c r="U28" s="5"/>
      <c r="V28" s="131">
        <f t="shared" ref="V28:V29" si="40">S28-T28-U28</f>
        <v>0</v>
      </c>
      <c r="W28" s="136" t="e">
        <f t="shared" ref="W28:W29" si="41">SUM(T28:U28)/S28</f>
        <v>#DIV/0!</v>
      </c>
      <c r="X28" s="133"/>
      <c r="Y28" s="163">
        <v>0.25</v>
      </c>
      <c r="Z28" s="44">
        <f t="shared" ref="Z28:Z29" si="42">S28*Y28</f>
        <v>0</v>
      </c>
      <c r="AA28" s="173">
        <v>46113</v>
      </c>
      <c r="AB28" s="127"/>
      <c r="AC28" s="165">
        <v>0.25</v>
      </c>
      <c r="AD28" s="44">
        <f t="shared" ref="AD28:AD29" si="43">S28*AC28</f>
        <v>0</v>
      </c>
      <c r="AE28" s="217" t="s">
        <v>330</v>
      </c>
      <c r="AF28" s="127"/>
      <c r="AG28" s="165">
        <v>0.25</v>
      </c>
      <c r="AH28" s="180">
        <f t="shared" ref="AH28:AH29" si="44">S28*AG28</f>
        <v>0</v>
      </c>
      <c r="AI28" s="173">
        <v>46266</v>
      </c>
      <c r="AJ28" s="127"/>
      <c r="AK28" s="165">
        <v>0.25</v>
      </c>
      <c r="AL28" s="127">
        <f>AH28</f>
        <v>0</v>
      </c>
      <c r="AM28" s="173">
        <v>46357</v>
      </c>
      <c r="AN28" s="127"/>
      <c r="AP28" s="240">
        <v>0</v>
      </c>
      <c r="AQ28" s="241">
        <f t="shared" ref="AQ28" si="45">T28+U28</f>
        <v>0</v>
      </c>
      <c r="AR28" s="240">
        <v>0</v>
      </c>
      <c r="AS28" s="60">
        <f t="shared" ref="AS28:AS29" si="46">V28</f>
        <v>0</v>
      </c>
      <c r="AT28" s="111"/>
      <c r="AU28" s="111"/>
      <c r="AV28" s="111"/>
      <c r="AW28" s="111"/>
      <c r="AX28" s="111"/>
      <c r="AY28" s="111"/>
      <c r="AZ28" s="111"/>
      <c r="BA28" s="111"/>
      <c r="BB28" s="111"/>
      <c r="BC28" s="111"/>
      <c r="BD28" s="27"/>
      <c r="BE28" s="27"/>
      <c r="BF28" s="27"/>
      <c r="BG28" s="27"/>
      <c r="BH28" s="27"/>
      <c r="BI28" s="27"/>
      <c r="BJ28" s="27"/>
      <c r="BK28" s="27"/>
      <c r="BL28" s="27"/>
      <c r="BN28" s="15"/>
      <c r="BO28" s="15"/>
      <c r="BQ28" s="27"/>
      <c r="BS28" s="15"/>
      <c r="BU28" s="15"/>
      <c r="BV28" s="15"/>
      <c r="BW28" s="15"/>
      <c r="BX28" s="111"/>
      <c r="BY28" s="111"/>
      <c r="CC28" s="15"/>
      <c r="CD28" s="27"/>
      <c r="CF28" s="60"/>
      <c r="CG28" s="61"/>
    </row>
    <row r="29" spans="1:85">
      <c r="A29" s="155">
        <f t="shared" si="12"/>
        <v>25</v>
      </c>
      <c r="B29" s="247" t="s">
        <v>380</v>
      </c>
      <c r="C29" s="157" t="s">
        <v>297</v>
      </c>
      <c r="D29" s="31">
        <v>1</v>
      </c>
      <c r="E29" s="31" t="s">
        <v>269</v>
      </c>
      <c r="F29" s="31" t="s">
        <v>263</v>
      </c>
      <c r="G29" s="31" t="s">
        <v>54</v>
      </c>
      <c r="H29" s="254" t="s">
        <v>397</v>
      </c>
      <c r="I29" s="78"/>
      <c r="J29" s="206" t="s">
        <v>335</v>
      </c>
      <c r="K29" s="5" t="s">
        <v>381</v>
      </c>
      <c r="L29" s="5" t="s">
        <v>56</v>
      </c>
      <c r="M29" s="5" t="s">
        <v>57</v>
      </c>
      <c r="N29" s="193">
        <v>505</v>
      </c>
      <c r="O29" s="45">
        <f t="shared" si="37"/>
        <v>1489750</v>
      </c>
      <c r="P29" s="30">
        <v>505</v>
      </c>
      <c r="Q29" s="141">
        <f t="shared" si="38"/>
        <v>2500</v>
      </c>
      <c r="R29" s="141">
        <v>2950</v>
      </c>
      <c r="S29" s="10">
        <f t="shared" si="39"/>
        <v>1489750</v>
      </c>
      <c r="T29" s="44"/>
      <c r="U29" s="5"/>
      <c r="V29" s="131">
        <f t="shared" si="40"/>
        <v>1489750</v>
      </c>
      <c r="W29" s="136">
        <f t="shared" si="41"/>
        <v>0</v>
      </c>
      <c r="X29" s="133"/>
      <c r="Y29" s="163">
        <v>0.25</v>
      </c>
      <c r="Z29" s="44">
        <f t="shared" si="42"/>
        <v>372437.5</v>
      </c>
      <c r="AA29" s="217" t="s">
        <v>330</v>
      </c>
      <c r="AB29" s="127"/>
      <c r="AC29" s="165">
        <v>0.25</v>
      </c>
      <c r="AD29" s="44">
        <f t="shared" si="43"/>
        <v>372437.5</v>
      </c>
      <c r="AE29" s="173">
        <v>46266</v>
      </c>
      <c r="AF29" s="127"/>
      <c r="AG29" s="165">
        <v>0.25</v>
      </c>
      <c r="AH29" s="180">
        <f t="shared" si="44"/>
        <v>372437.5</v>
      </c>
      <c r="AI29" s="173">
        <v>46357</v>
      </c>
      <c r="AJ29" s="127"/>
      <c r="AK29" s="165">
        <v>0.25</v>
      </c>
      <c r="AL29" s="127">
        <f>AH29</f>
        <v>372437.5</v>
      </c>
      <c r="AM29" s="173">
        <v>46419</v>
      </c>
      <c r="AN29" s="127"/>
      <c r="AP29" s="240"/>
      <c r="AQ29" s="241"/>
      <c r="AR29" s="240"/>
      <c r="AS29" s="60">
        <f t="shared" si="46"/>
        <v>1489750</v>
      </c>
      <c r="AT29" s="111"/>
      <c r="AU29" s="111"/>
      <c r="AV29" s="111"/>
      <c r="AW29" s="111"/>
      <c r="AX29" s="111"/>
      <c r="AY29" s="111"/>
      <c r="AZ29" s="111"/>
      <c r="BA29" s="111"/>
      <c r="BB29" s="111"/>
      <c r="BC29" s="111"/>
      <c r="BD29" s="27"/>
      <c r="BE29" s="27"/>
      <c r="BF29" s="27"/>
      <c r="BG29" s="27"/>
      <c r="BH29" s="27"/>
      <c r="BI29" s="27"/>
      <c r="BJ29" s="27"/>
      <c r="BK29" s="27"/>
      <c r="BL29" s="27"/>
      <c r="BN29" s="15"/>
      <c r="BO29" s="15"/>
      <c r="BQ29" s="27"/>
      <c r="BS29" s="15"/>
      <c r="BU29" s="15"/>
      <c r="BV29" s="15"/>
      <c r="BW29" s="15"/>
      <c r="BX29" s="111"/>
      <c r="BY29" s="111"/>
      <c r="CC29" s="15"/>
      <c r="CD29" s="27"/>
      <c r="CF29" s="60"/>
      <c r="CG29" s="61"/>
    </row>
    <row r="30" spans="1:85">
      <c r="A30" s="155">
        <f>A27+1</f>
        <v>24</v>
      </c>
      <c r="B30" s="219" t="s">
        <v>342</v>
      </c>
      <c r="C30" s="157" t="s">
        <v>297</v>
      </c>
      <c r="D30" s="31">
        <v>1</v>
      </c>
      <c r="E30" s="31" t="s">
        <v>343</v>
      </c>
      <c r="F30" s="31" t="s">
        <v>54</v>
      </c>
      <c r="G30" s="31" t="s">
        <v>54</v>
      </c>
      <c r="H30" s="254" t="s">
        <v>398</v>
      </c>
      <c r="I30" s="78"/>
      <c r="J30" s="143" t="s">
        <v>344</v>
      </c>
      <c r="K30" s="5" t="s">
        <v>345</v>
      </c>
      <c r="L30" s="5" t="s">
        <v>346</v>
      </c>
      <c r="M30" s="5" t="s">
        <v>318</v>
      </c>
      <c r="N30" s="193">
        <v>1000</v>
      </c>
      <c r="O30" s="45">
        <f t="shared" si="2"/>
        <v>0</v>
      </c>
      <c r="P30" s="30"/>
      <c r="Q30" s="30"/>
      <c r="R30" s="141"/>
      <c r="S30" s="10">
        <f t="shared" si="3"/>
        <v>0</v>
      </c>
      <c r="T30" s="44"/>
      <c r="U30" s="5"/>
      <c r="V30" s="131">
        <f t="shared" si="5"/>
        <v>0</v>
      </c>
      <c r="W30" s="136" t="e">
        <f t="shared" si="28"/>
        <v>#DIV/0!</v>
      </c>
      <c r="X30" s="133"/>
      <c r="Y30" s="127"/>
      <c r="Z30" s="127"/>
      <c r="AA30" s="127"/>
      <c r="AB30" s="127"/>
      <c r="AC30" s="165"/>
      <c r="AD30" s="127"/>
      <c r="AE30" s="173"/>
      <c r="AF30" s="166"/>
      <c r="AG30" s="165"/>
      <c r="AH30" s="165"/>
      <c r="AI30" s="173"/>
      <c r="AJ30" s="127"/>
      <c r="AK30" s="165"/>
      <c r="AL30" s="127"/>
      <c r="AM30" s="173"/>
      <c r="AN30" s="127"/>
      <c r="AP30" s="240">
        <v>0</v>
      </c>
      <c r="AQ30" s="241">
        <f t="shared" si="20"/>
        <v>0</v>
      </c>
      <c r="AR30" s="240">
        <v>0</v>
      </c>
      <c r="AS30" s="60">
        <f t="shared" si="8"/>
        <v>0</v>
      </c>
      <c r="AT30" s="111"/>
      <c r="AU30" s="111"/>
      <c r="AV30" s="111"/>
      <c r="AW30" s="111"/>
      <c r="AX30" s="111"/>
      <c r="AY30" s="111"/>
      <c r="AZ30" s="111"/>
      <c r="BA30" s="111"/>
      <c r="BB30" s="111"/>
      <c r="BC30" s="111"/>
      <c r="BD30" s="27"/>
      <c r="BE30" s="27"/>
      <c r="BF30" s="27"/>
      <c r="BG30" s="27"/>
      <c r="BH30" s="27"/>
      <c r="BI30" s="27"/>
      <c r="BJ30" s="27"/>
      <c r="BK30" s="27"/>
      <c r="BL30" s="27"/>
      <c r="BN30" s="15"/>
      <c r="BO30" s="15"/>
      <c r="BQ30" s="27"/>
      <c r="BS30" s="15"/>
      <c r="BU30" s="15"/>
      <c r="BV30" s="15"/>
      <c r="BW30" s="15"/>
      <c r="BX30" s="111"/>
      <c r="BY30" s="111"/>
      <c r="CC30" s="15"/>
      <c r="CD30" s="27"/>
      <c r="CF30" s="60"/>
      <c r="CG30" s="61"/>
    </row>
    <row r="31" spans="1:85">
      <c r="A31" s="155">
        <f t="shared" si="12"/>
        <v>25</v>
      </c>
      <c r="B31" s="219" t="s">
        <v>347</v>
      </c>
      <c r="C31" s="157" t="s">
        <v>297</v>
      </c>
      <c r="D31" s="31">
        <v>1</v>
      </c>
      <c r="E31" s="31" t="s">
        <v>343</v>
      </c>
      <c r="F31" s="31" t="s">
        <v>54</v>
      </c>
      <c r="G31" s="31" t="s">
        <v>54</v>
      </c>
      <c r="H31" s="254" t="s">
        <v>399</v>
      </c>
      <c r="I31" s="78"/>
      <c r="J31" s="143" t="s">
        <v>344</v>
      </c>
      <c r="K31" s="5" t="s">
        <v>348</v>
      </c>
      <c r="L31" s="5" t="s">
        <v>346</v>
      </c>
      <c r="M31" s="5" t="s">
        <v>318</v>
      </c>
      <c r="N31" s="193">
        <v>500</v>
      </c>
      <c r="O31" s="45">
        <f t="shared" si="2"/>
        <v>0</v>
      </c>
      <c r="P31" s="30"/>
      <c r="Q31" s="30"/>
      <c r="R31" s="141"/>
      <c r="S31" s="10">
        <f t="shared" si="3"/>
        <v>0</v>
      </c>
      <c r="T31" s="44"/>
      <c r="U31" s="5"/>
      <c r="V31" s="131">
        <f t="shared" si="5"/>
        <v>0</v>
      </c>
      <c r="W31" s="136" t="e">
        <f t="shared" si="28"/>
        <v>#DIV/0!</v>
      </c>
      <c r="X31" s="133"/>
      <c r="Y31" s="127"/>
      <c r="Z31" s="127"/>
      <c r="AA31" s="127"/>
      <c r="AB31" s="127"/>
      <c r="AC31" s="165"/>
      <c r="AD31" s="127"/>
      <c r="AE31" s="173"/>
      <c r="AF31" s="166"/>
      <c r="AG31" s="165"/>
      <c r="AH31" s="165"/>
      <c r="AI31" s="173"/>
      <c r="AJ31" s="127"/>
      <c r="AK31" s="165"/>
      <c r="AL31" s="127"/>
      <c r="AM31" s="173"/>
      <c r="AN31" s="127"/>
      <c r="AP31" s="240">
        <v>0</v>
      </c>
      <c r="AQ31" s="241">
        <f t="shared" si="20"/>
        <v>0</v>
      </c>
      <c r="AR31" s="240">
        <v>0</v>
      </c>
      <c r="AS31" s="60">
        <f t="shared" si="8"/>
        <v>0</v>
      </c>
      <c r="AT31" s="111"/>
      <c r="AU31" s="111"/>
      <c r="AV31" s="111"/>
      <c r="AW31" s="111"/>
      <c r="AX31" s="111"/>
      <c r="AY31" s="111"/>
      <c r="AZ31" s="111"/>
      <c r="BA31" s="111"/>
      <c r="BB31" s="111"/>
      <c r="BC31" s="111"/>
      <c r="BD31" s="27"/>
      <c r="BE31" s="27"/>
      <c r="BF31" s="27"/>
      <c r="BG31" s="27"/>
      <c r="BH31" s="27"/>
      <c r="BI31" s="27"/>
      <c r="BJ31" s="27"/>
      <c r="BK31" s="27"/>
      <c r="BL31" s="27"/>
      <c r="BN31" s="15"/>
      <c r="BO31" s="15"/>
      <c r="BQ31" s="27"/>
      <c r="BS31" s="15"/>
      <c r="BU31" s="15"/>
      <c r="BV31" s="15"/>
      <c r="BW31" s="15"/>
      <c r="BX31" s="111"/>
      <c r="BY31" s="111"/>
      <c r="CC31" s="15"/>
      <c r="CD31" s="27"/>
      <c r="CF31" s="60"/>
      <c r="CG31" s="61"/>
    </row>
    <row r="32" spans="1:85">
      <c r="A32" s="155">
        <f t="shared" si="12"/>
        <v>26</v>
      </c>
      <c r="B32" s="219" t="s">
        <v>368</v>
      </c>
      <c r="C32" s="157" t="s">
        <v>297</v>
      </c>
      <c r="D32" s="31">
        <v>1</v>
      </c>
      <c r="E32" s="31" t="s">
        <v>343</v>
      </c>
      <c r="F32" s="31" t="s">
        <v>263</v>
      </c>
      <c r="G32" s="31" t="s">
        <v>263</v>
      </c>
      <c r="H32" s="255" t="s">
        <v>384</v>
      </c>
      <c r="I32" s="78"/>
      <c r="J32" s="143" t="s">
        <v>344</v>
      </c>
      <c r="K32" s="156"/>
      <c r="L32" s="5" t="s">
        <v>369</v>
      </c>
      <c r="M32" s="5" t="s">
        <v>318</v>
      </c>
      <c r="N32" s="193">
        <v>41</v>
      </c>
      <c r="O32" s="45">
        <f t="shared" si="2"/>
        <v>24600</v>
      </c>
      <c r="P32" s="30">
        <v>41</v>
      </c>
      <c r="Q32" s="141">
        <f t="shared" ref="Q32:Q37" si="47">R32*100/118</f>
        <v>508.47457627118644</v>
      </c>
      <c r="R32" s="141">
        <v>600</v>
      </c>
      <c r="S32" s="10">
        <f t="shared" si="3"/>
        <v>24600</v>
      </c>
      <c r="T32" s="44">
        <v>24600</v>
      </c>
      <c r="U32" s="5"/>
      <c r="V32" s="131">
        <f t="shared" si="5"/>
        <v>0</v>
      </c>
      <c r="W32" s="136">
        <f t="shared" ref="W32" si="48">SUM(T32:U32)/S32</f>
        <v>1</v>
      </c>
      <c r="X32" s="133"/>
      <c r="Y32" s="183">
        <v>1</v>
      </c>
      <c r="Z32" s="184">
        <f>S32*Y32</f>
        <v>24600</v>
      </c>
      <c r="AA32" s="185">
        <v>46113</v>
      </c>
      <c r="AB32" s="186" t="s">
        <v>145</v>
      </c>
      <c r="AC32" s="165"/>
      <c r="AD32" s="127"/>
      <c r="AE32" s="173"/>
      <c r="AF32" s="166"/>
      <c r="AG32" s="165"/>
      <c r="AH32" s="165"/>
      <c r="AI32" s="173"/>
      <c r="AJ32" s="127"/>
      <c r="AK32" s="165"/>
      <c r="AL32" s="127"/>
      <c r="AM32" s="173"/>
      <c r="AN32" s="127"/>
      <c r="AP32" s="240">
        <v>0</v>
      </c>
      <c r="AQ32" s="241">
        <f t="shared" si="20"/>
        <v>24600</v>
      </c>
      <c r="AR32" s="240">
        <v>0</v>
      </c>
      <c r="AS32" s="60">
        <f t="shared" si="8"/>
        <v>0</v>
      </c>
      <c r="AT32" s="111"/>
      <c r="AU32" s="111"/>
      <c r="AV32" s="111"/>
      <c r="AW32" s="111"/>
      <c r="AX32" s="111"/>
      <c r="AY32" s="111"/>
      <c r="AZ32" s="111"/>
      <c r="BA32" s="111"/>
      <c r="BB32" s="111"/>
      <c r="BC32" s="111"/>
      <c r="BD32" s="27"/>
      <c r="BE32" s="27"/>
      <c r="BF32" s="27"/>
      <c r="BG32" s="27"/>
      <c r="BH32" s="27"/>
      <c r="BI32" s="27"/>
      <c r="BJ32" s="27"/>
      <c r="BK32" s="27"/>
      <c r="BL32" s="27"/>
      <c r="BN32" s="15"/>
      <c r="BO32" s="15"/>
      <c r="BQ32" s="27"/>
      <c r="BS32" s="15"/>
      <c r="BU32" s="15"/>
      <c r="BV32" s="15"/>
      <c r="BW32" s="15"/>
      <c r="BX32" s="111"/>
      <c r="BY32" s="111"/>
      <c r="CC32" s="15"/>
      <c r="CD32" s="27"/>
      <c r="CF32" s="60"/>
      <c r="CG32" s="61"/>
    </row>
    <row r="33" spans="1:85">
      <c r="A33" s="155">
        <f t="shared" si="12"/>
        <v>27</v>
      </c>
      <c r="B33" s="219" t="s">
        <v>349</v>
      </c>
      <c r="C33" s="157" t="s">
        <v>297</v>
      </c>
      <c r="D33" s="31">
        <v>1</v>
      </c>
      <c r="E33" s="31" t="s">
        <v>343</v>
      </c>
      <c r="F33" s="31" t="s">
        <v>263</v>
      </c>
      <c r="G33" s="31" t="s">
        <v>263</v>
      </c>
      <c r="H33" s="255" t="s">
        <v>384</v>
      </c>
      <c r="I33" s="78"/>
      <c r="J33" s="143" t="s">
        <v>344</v>
      </c>
      <c r="K33" s="156"/>
      <c r="L33" s="5" t="s">
        <v>346</v>
      </c>
      <c r="M33" s="5" t="s">
        <v>318</v>
      </c>
      <c r="N33" s="193"/>
      <c r="O33" s="188"/>
      <c r="P33" s="30">
        <v>9</v>
      </c>
      <c r="Q33" s="141">
        <f t="shared" si="47"/>
        <v>1016.9491525423729</v>
      </c>
      <c r="R33" s="141">
        <v>1200</v>
      </c>
      <c r="S33" s="10">
        <f t="shared" si="3"/>
        <v>10800</v>
      </c>
      <c r="T33" s="44">
        <f>S33</f>
        <v>10800</v>
      </c>
      <c r="U33" s="5"/>
      <c r="V33" s="131">
        <f t="shared" si="5"/>
        <v>0</v>
      </c>
      <c r="W33" s="136">
        <f t="shared" si="28"/>
        <v>1</v>
      </c>
      <c r="X33" s="133"/>
      <c r="Y33" s="183">
        <v>1</v>
      </c>
      <c r="Z33" s="184">
        <f>S33*Y33</f>
        <v>10800</v>
      </c>
      <c r="AA33" s="185">
        <v>46113</v>
      </c>
      <c r="AB33" s="186" t="s">
        <v>145</v>
      </c>
      <c r="AC33" s="165"/>
      <c r="AD33" s="127"/>
      <c r="AE33" s="173"/>
      <c r="AF33" s="166"/>
      <c r="AG33" s="165"/>
      <c r="AH33" s="165"/>
      <c r="AI33" s="173"/>
      <c r="AJ33" s="127"/>
      <c r="AK33" s="165"/>
      <c r="AL33" s="127"/>
      <c r="AM33" s="173"/>
      <c r="AN33" s="127"/>
      <c r="AP33" s="240">
        <v>0</v>
      </c>
      <c r="AQ33" s="241">
        <f t="shared" si="20"/>
        <v>10800</v>
      </c>
      <c r="AR33" s="240">
        <v>0</v>
      </c>
      <c r="AS33" s="60">
        <f t="shared" si="8"/>
        <v>0</v>
      </c>
      <c r="AT33" s="111"/>
      <c r="AU33" s="111"/>
      <c r="AV33" s="111"/>
      <c r="AW33" s="111"/>
      <c r="AX33" s="111"/>
      <c r="AY33" s="111"/>
      <c r="AZ33" s="111"/>
      <c r="BA33" s="111"/>
      <c r="BB33" s="111"/>
      <c r="BC33" s="111"/>
      <c r="BD33" s="27"/>
      <c r="BE33" s="27"/>
      <c r="BF33" s="27"/>
      <c r="BG33" s="27"/>
      <c r="BH33" s="27"/>
      <c r="BI33" s="27"/>
      <c r="BJ33" s="27"/>
      <c r="BK33" s="27"/>
      <c r="BL33" s="27"/>
      <c r="BN33" s="15"/>
      <c r="BO33" s="15"/>
      <c r="BQ33" s="27"/>
      <c r="BS33" s="15"/>
      <c r="BU33" s="15"/>
      <c r="BV33" s="15"/>
      <c r="BW33" s="15"/>
      <c r="BX33" s="111"/>
      <c r="BY33" s="111"/>
      <c r="CC33" s="15"/>
      <c r="CD33" s="27"/>
      <c r="CF33" s="60"/>
      <c r="CG33" s="61"/>
    </row>
    <row r="34" spans="1:85">
      <c r="A34" s="155"/>
      <c r="B34" s="219" t="s">
        <v>349</v>
      </c>
      <c r="C34" s="157" t="s">
        <v>297</v>
      </c>
      <c r="D34" s="31">
        <v>1</v>
      </c>
      <c r="E34" s="31" t="s">
        <v>343</v>
      </c>
      <c r="F34" s="31" t="s">
        <v>263</v>
      </c>
      <c r="G34" s="31" t="s">
        <v>263</v>
      </c>
      <c r="H34" s="255" t="s">
        <v>384</v>
      </c>
      <c r="I34" s="78"/>
      <c r="J34" s="143" t="s">
        <v>344</v>
      </c>
      <c r="K34" s="156"/>
      <c r="L34" s="5" t="s">
        <v>346</v>
      </c>
      <c r="M34" s="5" t="s">
        <v>318</v>
      </c>
      <c r="N34" s="193"/>
      <c r="O34" s="188"/>
      <c r="P34" s="30">
        <v>19</v>
      </c>
      <c r="Q34" s="141">
        <f t="shared" si="47"/>
        <v>2118.6440677966102</v>
      </c>
      <c r="R34" s="141">
        <v>2500</v>
      </c>
      <c r="S34" s="10">
        <f t="shared" si="3"/>
        <v>47500</v>
      </c>
      <c r="T34" s="44">
        <f>S34</f>
        <v>47500</v>
      </c>
      <c r="U34" s="5"/>
      <c r="V34" s="131">
        <f t="shared" si="5"/>
        <v>0</v>
      </c>
      <c r="W34" s="136">
        <f t="shared" si="28"/>
        <v>1</v>
      </c>
      <c r="X34" s="133"/>
      <c r="Y34" s="183">
        <v>1</v>
      </c>
      <c r="Z34" s="184">
        <f>S34*Y34</f>
        <v>47500</v>
      </c>
      <c r="AA34" s="185">
        <v>46113</v>
      </c>
      <c r="AB34" s="186" t="s">
        <v>145</v>
      </c>
      <c r="AC34" s="165"/>
      <c r="AD34" s="127"/>
      <c r="AE34" s="173"/>
      <c r="AF34" s="166"/>
      <c r="AG34" s="165"/>
      <c r="AH34" s="165"/>
      <c r="AI34" s="173"/>
      <c r="AJ34" s="127"/>
      <c r="AK34" s="165"/>
      <c r="AL34" s="127"/>
      <c r="AM34" s="173"/>
      <c r="AN34" s="127"/>
      <c r="AP34" s="240">
        <v>0</v>
      </c>
      <c r="AQ34" s="241">
        <f t="shared" si="20"/>
        <v>47500</v>
      </c>
      <c r="AR34" s="240">
        <v>0</v>
      </c>
      <c r="AS34" s="60">
        <f t="shared" si="8"/>
        <v>0</v>
      </c>
      <c r="AT34" s="111"/>
      <c r="AU34" s="111"/>
      <c r="AV34" s="111"/>
      <c r="AW34" s="111"/>
      <c r="AX34" s="111"/>
      <c r="AY34" s="111"/>
      <c r="AZ34" s="111"/>
      <c r="BA34" s="111"/>
      <c r="BB34" s="111"/>
      <c r="BC34" s="111"/>
      <c r="BD34" s="27"/>
      <c r="BE34" s="27"/>
      <c r="BF34" s="27"/>
      <c r="BG34" s="27"/>
      <c r="BH34" s="27"/>
      <c r="BI34" s="27"/>
      <c r="BJ34" s="27"/>
      <c r="BK34" s="27"/>
      <c r="BL34" s="27"/>
      <c r="BN34" s="15"/>
      <c r="BO34" s="15"/>
      <c r="BQ34" s="27"/>
      <c r="BS34" s="15"/>
      <c r="BU34" s="15"/>
      <c r="BV34" s="15"/>
      <c r="BW34" s="15"/>
      <c r="BX34" s="111"/>
      <c r="BY34" s="111"/>
      <c r="CC34" s="15"/>
      <c r="CD34" s="27"/>
      <c r="CF34" s="60"/>
      <c r="CG34" s="61"/>
    </row>
    <row r="35" spans="1:85">
      <c r="A35" s="155">
        <f>A33+1</f>
        <v>28</v>
      </c>
      <c r="B35" s="235" t="s">
        <v>363</v>
      </c>
      <c r="C35" s="157" t="s">
        <v>297</v>
      </c>
      <c r="D35" s="31">
        <v>1</v>
      </c>
      <c r="E35" s="31" t="s">
        <v>269</v>
      </c>
      <c r="F35" s="31" t="s">
        <v>263</v>
      </c>
      <c r="G35" s="31" t="s">
        <v>54</v>
      </c>
      <c r="H35" s="254" t="s">
        <v>408</v>
      </c>
      <c r="I35" s="78"/>
      <c r="J35" s="143" t="s">
        <v>336</v>
      </c>
      <c r="K35" s="156" t="s">
        <v>105</v>
      </c>
      <c r="L35" s="5" t="s">
        <v>79</v>
      </c>
      <c r="M35" s="5" t="s">
        <v>57</v>
      </c>
      <c r="N35" s="193">
        <v>195</v>
      </c>
      <c r="O35" s="188">
        <f t="shared" ref="O35:O67" si="49">N35*Q35</f>
        <v>495762.71186440683</v>
      </c>
      <c r="P35" s="30">
        <v>195</v>
      </c>
      <c r="Q35" s="141">
        <f t="shared" si="47"/>
        <v>2542.3728813559323</v>
      </c>
      <c r="R35" s="141">
        <v>3000</v>
      </c>
      <c r="S35" s="10">
        <f t="shared" si="3"/>
        <v>585000</v>
      </c>
      <c r="T35" s="44"/>
      <c r="U35" s="5"/>
      <c r="V35" s="131">
        <f t="shared" si="5"/>
        <v>585000</v>
      </c>
      <c r="W35" s="136">
        <f t="shared" si="28"/>
        <v>0</v>
      </c>
      <c r="X35" s="133"/>
      <c r="Y35" s="163">
        <v>0.5</v>
      </c>
      <c r="Z35" s="44">
        <f t="shared" ref="Z35:Z44" si="50">S35*Y35</f>
        <v>292500</v>
      </c>
      <c r="AA35" s="173">
        <v>46113</v>
      </c>
      <c r="AB35" s="136"/>
      <c r="AC35" s="163">
        <v>0.5</v>
      </c>
      <c r="AD35" s="44">
        <f t="shared" ref="AD35:AD36" si="51">S35*AC35</f>
        <v>292500</v>
      </c>
      <c r="AE35" s="173">
        <v>46296</v>
      </c>
      <c r="AF35" s="136"/>
      <c r="AG35" s="136"/>
      <c r="AH35" s="136"/>
      <c r="AI35" s="136"/>
      <c r="AJ35" s="136"/>
      <c r="AK35" s="136"/>
      <c r="AL35" s="136"/>
      <c r="AM35" s="136"/>
      <c r="AN35" s="136"/>
      <c r="AO35" s="239"/>
      <c r="AP35" s="240">
        <v>0</v>
      </c>
      <c r="AQ35" s="241">
        <f t="shared" si="20"/>
        <v>0</v>
      </c>
      <c r="AR35" s="240">
        <v>0</v>
      </c>
      <c r="AS35" s="60">
        <f t="shared" si="8"/>
        <v>585000</v>
      </c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27"/>
      <c r="BE35" s="27"/>
      <c r="BF35" s="27"/>
      <c r="BG35" s="27"/>
      <c r="BH35" s="27"/>
      <c r="BI35" s="27"/>
      <c r="BJ35" s="27"/>
      <c r="BK35" s="27"/>
      <c r="BL35" s="27"/>
      <c r="BN35" s="15"/>
      <c r="BO35" s="15"/>
      <c r="BQ35" s="27"/>
      <c r="BS35" s="15"/>
      <c r="BU35" s="15"/>
      <c r="BV35" s="15"/>
      <c r="BW35" s="15"/>
      <c r="BX35" s="111"/>
      <c r="BY35" s="111"/>
      <c r="CC35" s="15"/>
      <c r="CD35" s="27"/>
      <c r="CF35" s="60"/>
      <c r="CG35" s="61"/>
    </row>
    <row r="36" spans="1:85">
      <c r="A36" s="155">
        <f>A35+1</f>
        <v>29</v>
      </c>
      <c r="B36" s="237" t="s">
        <v>364</v>
      </c>
      <c r="C36" s="157" t="s">
        <v>297</v>
      </c>
      <c r="D36" s="31">
        <v>1</v>
      </c>
      <c r="E36" s="31" t="s">
        <v>343</v>
      </c>
      <c r="F36" s="31" t="s">
        <v>263</v>
      </c>
      <c r="G36" s="31" t="s">
        <v>54</v>
      </c>
      <c r="H36" s="254" t="s">
        <v>401</v>
      </c>
      <c r="I36" s="78"/>
      <c r="J36" s="143" t="s">
        <v>335</v>
      </c>
      <c r="K36" s="156" t="s">
        <v>294</v>
      </c>
      <c r="L36" s="5" t="s">
        <v>365</v>
      </c>
      <c r="M36" s="5" t="s">
        <v>366</v>
      </c>
      <c r="N36" s="193">
        <v>182</v>
      </c>
      <c r="O36" s="188">
        <f t="shared" si="49"/>
        <v>109200</v>
      </c>
      <c r="P36" s="30">
        <v>182</v>
      </c>
      <c r="Q36" s="141">
        <f t="shared" si="47"/>
        <v>600</v>
      </c>
      <c r="R36" s="141">
        <v>708</v>
      </c>
      <c r="S36" s="10">
        <f t="shared" si="3"/>
        <v>128856</v>
      </c>
      <c r="T36" s="44"/>
      <c r="U36" s="5"/>
      <c r="V36" s="131">
        <f t="shared" si="5"/>
        <v>128856</v>
      </c>
      <c r="W36" s="136">
        <f t="shared" si="28"/>
        <v>0</v>
      </c>
      <c r="X36" s="133"/>
      <c r="Y36" s="163">
        <v>0.2</v>
      </c>
      <c r="Z36" s="44">
        <f t="shared" si="50"/>
        <v>25771.200000000001</v>
      </c>
      <c r="AA36" s="173">
        <v>46113</v>
      </c>
      <c r="AB36" s="162"/>
      <c r="AC36" s="163">
        <v>0.4</v>
      </c>
      <c r="AD36" s="44">
        <f t="shared" si="51"/>
        <v>51542.400000000001</v>
      </c>
      <c r="AE36" s="217" t="s">
        <v>330</v>
      </c>
      <c r="AF36" s="162"/>
      <c r="AG36" s="163">
        <v>0.4</v>
      </c>
      <c r="AH36" s="180">
        <f t="shared" ref="AH36" si="52">S36*AG36</f>
        <v>51542.400000000001</v>
      </c>
      <c r="AI36" s="173">
        <v>46266</v>
      </c>
      <c r="AJ36" s="162"/>
      <c r="AK36" s="236"/>
      <c r="AL36" s="162"/>
      <c r="AM36" s="162"/>
      <c r="AN36" s="162"/>
      <c r="AO36" s="133"/>
      <c r="AP36" s="240">
        <v>0</v>
      </c>
      <c r="AQ36" s="241">
        <f t="shared" si="20"/>
        <v>0</v>
      </c>
      <c r="AR36" s="240">
        <v>0</v>
      </c>
      <c r="AS36" s="60">
        <f t="shared" si="8"/>
        <v>128856</v>
      </c>
      <c r="AT36" s="111"/>
      <c r="AU36" s="111"/>
      <c r="AV36" s="111"/>
      <c r="AW36" s="111"/>
      <c r="AX36" s="111"/>
      <c r="AY36" s="111"/>
      <c r="AZ36" s="111"/>
      <c r="BA36" s="111"/>
      <c r="BB36" s="111"/>
      <c r="BC36" s="111"/>
      <c r="BD36" s="27"/>
      <c r="BE36" s="27"/>
      <c r="BF36" s="27"/>
      <c r="BG36" s="27"/>
      <c r="BH36" s="27"/>
      <c r="BI36" s="27"/>
      <c r="BJ36" s="27"/>
      <c r="BK36" s="27"/>
      <c r="BL36" s="27"/>
      <c r="BN36" s="15"/>
      <c r="BO36" s="15"/>
      <c r="BQ36" s="27"/>
      <c r="BS36" s="15"/>
      <c r="BU36" s="15"/>
      <c r="BV36" s="15"/>
      <c r="BW36" s="15"/>
      <c r="BX36" s="111"/>
      <c r="BY36" s="111"/>
      <c r="CC36" s="15"/>
      <c r="CD36" s="27"/>
      <c r="CF36" s="60"/>
      <c r="CG36" s="61"/>
    </row>
    <row r="37" spans="1:85">
      <c r="A37" s="155">
        <f>A36+1</f>
        <v>30</v>
      </c>
      <c r="B37" s="237" t="s">
        <v>367</v>
      </c>
      <c r="C37" s="157" t="s">
        <v>297</v>
      </c>
      <c r="D37" s="31">
        <v>1</v>
      </c>
      <c r="E37" s="31" t="s">
        <v>343</v>
      </c>
      <c r="F37" s="31" t="s">
        <v>263</v>
      </c>
      <c r="G37" s="31" t="s">
        <v>54</v>
      </c>
      <c r="H37" s="254" t="s">
        <v>402</v>
      </c>
      <c r="I37" s="78"/>
      <c r="J37" s="143" t="s">
        <v>344</v>
      </c>
      <c r="K37" s="156" t="s">
        <v>105</v>
      </c>
      <c r="L37" s="5" t="s">
        <v>346</v>
      </c>
      <c r="M37" s="5" t="s">
        <v>318</v>
      </c>
      <c r="N37" s="193">
        <v>2000</v>
      </c>
      <c r="O37" s="188">
        <f t="shared" si="49"/>
        <v>1694915.2542372881</v>
      </c>
      <c r="P37" s="30">
        <v>56</v>
      </c>
      <c r="Q37" s="141">
        <f t="shared" si="47"/>
        <v>847.45762711864404</v>
      </c>
      <c r="R37" s="141">
        <v>1000</v>
      </c>
      <c r="S37" s="10">
        <f t="shared" si="3"/>
        <v>56000</v>
      </c>
      <c r="T37" s="44"/>
      <c r="U37" s="5"/>
      <c r="V37" s="131">
        <f t="shared" si="5"/>
        <v>56000</v>
      </c>
      <c r="W37" s="136">
        <f t="shared" si="28"/>
        <v>0</v>
      </c>
      <c r="X37" s="133"/>
      <c r="Y37" s="163"/>
      <c r="Z37" s="44"/>
      <c r="AA37" s="173"/>
      <c r="AB37" s="162"/>
      <c r="AC37" s="163"/>
      <c r="AD37" s="44"/>
      <c r="AE37" s="238"/>
      <c r="AF37" s="162"/>
      <c r="AG37" s="163"/>
      <c r="AH37" s="180"/>
      <c r="AI37" s="173"/>
      <c r="AJ37" s="162"/>
      <c r="AK37" s="236"/>
      <c r="AL37" s="162"/>
      <c r="AM37" s="162"/>
      <c r="AN37" s="162"/>
      <c r="AO37" s="133"/>
      <c r="AP37" s="240">
        <v>0</v>
      </c>
      <c r="AQ37" s="241">
        <f t="shared" si="20"/>
        <v>0</v>
      </c>
      <c r="AR37" s="240">
        <v>0</v>
      </c>
      <c r="AS37" s="60">
        <f t="shared" si="8"/>
        <v>56000</v>
      </c>
      <c r="AT37" s="111"/>
      <c r="AU37" s="111"/>
      <c r="AV37" s="111"/>
      <c r="AW37" s="111"/>
      <c r="AX37" s="111"/>
      <c r="AY37" s="111"/>
      <c r="AZ37" s="111"/>
      <c r="BA37" s="111"/>
      <c r="BB37" s="111"/>
      <c r="BC37" s="111"/>
      <c r="BD37" s="27"/>
      <c r="BE37" s="27"/>
      <c r="BF37" s="27"/>
      <c r="BG37" s="27"/>
      <c r="BH37" s="27"/>
      <c r="BI37" s="27"/>
      <c r="BJ37" s="27"/>
      <c r="BK37" s="27"/>
      <c r="BL37" s="27"/>
      <c r="BN37" s="15"/>
      <c r="BO37" s="15"/>
      <c r="BQ37" s="27"/>
      <c r="BS37" s="15"/>
      <c r="BU37" s="15"/>
      <c r="BV37" s="15"/>
      <c r="BW37" s="15"/>
      <c r="BX37" s="111"/>
      <c r="BY37" s="111"/>
      <c r="CC37" s="15"/>
      <c r="CD37" s="27"/>
      <c r="CF37" s="60"/>
      <c r="CG37" s="61"/>
    </row>
    <row r="38" spans="1:85">
      <c r="A38" s="155">
        <f>A37+1</f>
        <v>31</v>
      </c>
      <c r="B38" s="40" t="s">
        <v>85</v>
      </c>
      <c r="C38" s="157" t="s">
        <v>298</v>
      </c>
      <c r="D38" s="31">
        <v>1</v>
      </c>
      <c r="E38" s="31" t="s">
        <v>269</v>
      </c>
      <c r="F38" s="31" t="s">
        <v>183</v>
      </c>
      <c r="G38" s="31" t="s">
        <v>54</v>
      </c>
      <c r="H38" s="254" t="s">
        <v>403</v>
      </c>
      <c r="I38" s="78"/>
      <c r="J38" s="143" t="s">
        <v>335</v>
      </c>
      <c r="K38" s="156" t="s">
        <v>105</v>
      </c>
      <c r="L38" s="5" t="s">
        <v>56</v>
      </c>
      <c r="M38" s="5" t="s">
        <v>57</v>
      </c>
      <c r="N38" s="193">
        <v>800</v>
      </c>
      <c r="O38" s="188">
        <f t="shared" si="49"/>
        <v>813559.32203389832</v>
      </c>
      <c r="P38" s="30">
        <v>873</v>
      </c>
      <c r="Q38" s="30">
        <f>R38*100/118</f>
        <v>1016.9491525423729</v>
      </c>
      <c r="R38" s="141">
        <v>1200</v>
      </c>
      <c r="S38" s="10">
        <f t="shared" si="3"/>
        <v>1047600</v>
      </c>
      <c r="T38" s="44"/>
      <c r="U38" s="5"/>
      <c r="V38" s="131">
        <f t="shared" si="5"/>
        <v>1047600</v>
      </c>
      <c r="W38" s="136">
        <f t="shared" si="28"/>
        <v>0</v>
      </c>
      <c r="X38" s="133"/>
      <c r="Y38" s="163">
        <v>0.3333333</v>
      </c>
      <c r="Z38" s="44">
        <f t="shared" si="50"/>
        <v>349199.96507999999</v>
      </c>
      <c r="AA38" s="173">
        <v>46113</v>
      </c>
      <c r="AB38" s="164"/>
      <c r="AC38" s="163">
        <v>0.3333333</v>
      </c>
      <c r="AD38" s="44">
        <f t="shared" ref="AD38:AD44" si="53">S38*AC38</f>
        <v>349199.96507999999</v>
      </c>
      <c r="AE38" s="173">
        <v>46204</v>
      </c>
      <c r="AF38" s="166"/>
      <c r="AG38" s="163">
        <v>0.3333333</v>
      </c>
      <c r="AH38" s="180">
        <f t="shared" ref="AH38:AH42" si="54">S38*AG38</f>
        <v>349199.96507999999</v>
      </c>
      <c r="AI38" s="173">
        <v>46296</v>
      </c>
      <c r="AJ38" s="127"/>
      <c r="AK38" s="165"/>
      <c r="AL38" s="127"/>
      <c r="AM38" s="173"/>
      <c r="AN38" s="127"/>
      <c r="AP38" s="240">
        <v>0</v>
      </c>
      <c r="AQ38" s="241">
        <f t="shared" si="20"/>
        <v>0</v>
      </c>
      <c r="AR38" s="240">
        <v>0</v>
      </c>
      <c r="AS38" s="60">
        <f t="shared" si="8"/>
        <v>1047600</v>
      </c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27"/>
      <c r="BE38" s="27"/>
      <c r="BF38" s="27"/>
      <c r="BG38" s="27"/>
      <c r="BH38" s="27"/>
      <c r="BI38" s="27"/>
      <c r="BJ38" s="27"/>
      <c r="BK38" s="27"/>
      <c r="BL38" s="27"/>
      <c r="BN38" s="15"/>
      <c r="BO38" s="15"/>
      <c r="BQ38" s="27"/>
      <c r="BS38" s="15"/>
      <c r="BU38" s="15"/>
      <c r="BV38" s="15"/>
      <c r="BW38" s="15"/>
      <c r="BX38" s="111"/>
      <c r="BY38" s="111"/>
      <c r="CC38" s="15"/>
      <c r="CD38" s="27"/>
      <c r="CF38" s="60"/>
      <c r="CG38" s="61"/>
    </row>
    <row r="39" spans="1:85">
      <c r="A39" s="155">
        <f t="shared" si="12"/>
        <v>32</v>
      </c>
      <c r="B39" s="40" t="s">
        <v>147</v>
      </c>
      <c r="C39" s="157" t="s">
        <v>298</v>
      </c>
      <c r="D39" s="31">
        <v>1</v>
      </c>
      <c r="E39" s="31" t="s">
        <v>300</v>
      </c>
      <c r="F39" s="31" t="s">
        <v>183</v>
      </c>
      <c r="G39" s="31" t="s">
        <v>54</v>
      </c>
      <c r="H39" s="254" t="s">
        <v>404</v>
      </c>
      <c r="I39" s="78"/>
      <c r="J39" s="143" t="s">
        <v>335</v>
      </c>
      <c r="K39" s="5" t="s">
        <v>281</v>
      </c>
      <c r="L39" s="5" t="s">
        <v>144</v>
      </c>
      <c r="M39" s="5" t="s">
        <v>143</v>
      </c>
      <c r="N39" s="193">
        <v>658</v>
      </c>
      <c r="O39" s="188">
        <f t="shared" si="49"/>
        <v>789600</v>
      </c>
      <c r="P39" s="8"/>
      <c r="Q39" s="30">
        <f t="shared" ref="Q39:Q69" si="55">R39*100/118</f>
        <v>1200</v>
      </c>
      <c r="R39" s="41">
        <v>1416</v>
      </c>
      <c r="S39" s="10">
        <f t="shared" si="3"/>
        <v>0</v>
      </c>
      <c r="T39" s="44"/>
      <c r="U39" s="5"/>
      <c r="V39" s="131">
        <f t="shared" si="5"/>
        <v>0</v>
      </c>
      <c r="W39" s="136" t="e">
        <f t="shared" si="28"/>
        <v>#DIV/0!</v>
      </c>
      <c r="X39" s="133"/>
      <c r="Y39" s="220">
        <v>0.25</v>
      </c>
      <c r="Z39" s="221">
        <f t="shared" si="50"/>
        <v>0</v>
      </c>
      <c r="AA39" s="222">
        <v>46113</v>
      </c>
      <c r="AB39" s="223" t="s">
        <v>263</v>
      </c>
      <c r="AC39" s="165">
        <v>0.25</v>
      </c>
      <c r="AD39" s="44">
        <f t="shared" si="53"/>
        <v>0</v>
      </c>
      <c r="AE39" s="173">
        <v>46204</v>
      </c>
      <c r="AF39" s="166"/>
      <c r="AG39" s="165">
        <v>0.25</v>
      </c>
      <c r="AH39" s="180">
        <f t="shared" si="54"/>
        <v>0</v>
      </c>
      <c r="AI39" s="173">
        <v>46296</v>
      </c>
      <c r="AJ39" s="127"/>
      <c r="AK39" s="165">
        <v>0.25</v>
      </c>
      <c r="AL39" s="127">
        <f>AH39</f>
        <v>0</v>
      </c>
      <c r="AM39" s="173">
        <v>46388</v>
      </c>
      <c r="AN39" s="127"/>
      <c r="AP39" s="240">
        <v>0</v>
      </c>
      <c r="AQ39" s="241">
        <f t="shared" si="20"/>
        <v>0</v>
      </c>
      <c r="AR39" s="240">
        <v>0</v>
      </c>
      <c r="AS39" s="60">
        <f t="shared" si="8"/>
        <v>0</v>
      </c>
      <c r="AT39" s="111"/>
      <c r="AU39" s="111"/>
      <c r="AV39" s="111"/>
      <c r="AW39" s="111"/>
      <c r="AX39" s="111"/>
      <c r="AY39" s="111"/>
      <c r="AZ39" s="111"/>
      <c r="BA39" s="111"/>
      <c r="BB39" s="111"/>
      <c r="BC39" s="111"/>
      <c r="BD39" s="27"/>
      <c r="BE39" s="27"/>
      <c r="BF39" s="27"/>
      <c r="BG39" s="27"/>
      <c r="BH39" s="27"/>
      <c r="BI39" s="27"/>
      <c r="BJ39" s="27"/>
      <c r="BK39" s="27"/>
      <c r="BL39" s="27"/>
      <c r="BN39" s="15"/>
      <c r="BO39" s="15"/>
      <c r="BQ39" s="27"/>
      <c r="BS39" s="15"/>
      <c r="BU39" s="15"/>
      <c r="BV39" s="15"/>
      <c r="BW39" s="15"/>
      <c r="BX39" s="111"/>
      <c r="BY39" s="111"/>
      <c r="CC39" s="15"/>
      <c r="CD39" s="27"/>
      <c r="CF39" s="60"/>
      <c r="CG39" s="61"/>
    </row>
    <row r="40" spans="1:85">
      <c r="A40" s="155">
        <f t="shared" si="12"/>
        <v>33</v>
      </c>
      <c r="B40" s="156" t="s">
        <v>293</v>
      </c>
      <c r="C40" s="157" t="s">
        <v>297</v>
      </c>
      <c r="D40" s="157">
        <v>1</v>
      </c>
      <c r="E40" s="31" t="s">
        <v>274</v>
      </c>
      <c r="F40" s="157" t="s">
        <v>183</v>
      </c>
      <c r="G40" s="157" t="s">
        <v>54</v>
      </c>
      <c r="H40" s="254" t="s">
        <v>405</v>
      </c>
      <c r="I40" s="157" t="s">
        <v>292</v>
      </c>
      <c r="J40" s="143" t="s">
        <v>335</v>
      </c>
      <c r="K40" s="5" t="s">
        <v>294</v>
      </c>
      <c r="L40" s="156" t="s">
        <v>295</v>
      </c>
      <c r="M40" s="156" t="s">
        <v>57</v>
      </c>
      <c r="N40" s="191">
        <v>350</v>
      </c>
      <c r="O40" s="187">
        <f t="shared" si="49"/>
        <v>355932.20338983048</v>
      </c>
      <c r="P40" s="158"/>
      <c r="Q40" s="30">
        <f t="shared" si="55"/>
        <v>1016.9491525423729</v>
      </c>
      <c r="R40" s="160">
        <v>1200</v>
      </c>
      <c r="S40" s="10">
        <f t="shared" si="3"/>
        <v>0</v>
      </c>
      <c r="T40" s="127"/>
      <c r="U40" s="161"/>
      <c r="V40" s="131">
        <f t="shared" si="5"/>
        <v>0</v>
      </c>
      <c r="W40" s="136" t="e">
        <f t="shared" si="28"/>
        <v>#DIV/0!</v>
      </c>
      <c r="X40" s="133"/>
      <c r="Y40" s="163">
        <v>0.5</v>
      </c>
      <c r="Z40" s="44">
        <f t="shared" si="50"/>
        <v>0</v>
      </c>
      <c r="AA40" s="173">
        <v>46266</v>
      </c>
      <c r="AB40" s="164"/>
      <c r="AC40" s="165">
        <v>0.5</v>
      </c>
      <c r="AD40" s="44">
        <f t="shared" si="53"/>
        <v>0</v>
      </c>
      <c r="AE40" s="173">
        <v>46447</v>
      </c>
      <c r="AF40" s="166"/>
      <c r="AG40" s="127"/>
      <c r="AH40" s="127"/>
      <c r="AI40" s="173"/>
      <c r="AJ40" s="127"/>
      <c r="AK40" s="127"/>
      <c r="AL40" s="127"/>
      <c r="AM40" s="173"/>
      <c r="AN40" s="127"/>
      <c r="AP40" s="240">
        <v>0</v>
      </c>
      <c r="AQ40" s="241">
        <f t="shared" si="20"/>
        <v>0</v>
      </c>
      <c r="AR40" s="240">
        <v>0</v>
      </c>
      <c r="AS40" s="60">
        <f t="shared" si="8"/>
        <v>0</v>
      </c>
      <c r="AT40" s="111"/>
      <c r="AU40" s="111"/>
      <c r="AV40" s="111"/>
      <c r="AW40" s="111"/>
      <c r="AX40" s="111"/>
      <c r="AY40" s="111"/>
      <c r="AZ40" s="111"/>
      <c r="BA40" s="111"/>
      <c r="BB40" s="111"/>
      <c r="BC40" s="111"/>
      <c r="BD40" s="27"/>
      <c r="BE40" s="27"/>
      <c r="BF40" s="27"/>
      <c r="BG40" s="27"/>
      <c r="BH40" s="27"/>
      <c r="BI40" s="27"/>
      <c r="BJ40" s="27"/>
      <c r="BK40" s="27"/>
      <c r="BL40" s="27"/>
      <c r="BN40" s="15"/>
      <c r="BO40" s="15"/>
      <c r="BQ40" s="27"/>
      <c r="BS40" s="15"/>
      <c r="BU40" s="15"/>
      <c r="BV40" s="15"/>
      <c r="BW40" s="15"/>
      <c r="BX40" s="111"/>
      <c r="BY40" s="111"/>
      <c r="CC40" s="15"/>
      <c r="CD40" s="27"/>
      <c r="CF40" s="60"/>
      <c r="CG40" s="61"/>
    </row>
    <row r="41" spans="1:85">
      <c r="A41" s="155">
        <f t="shared" si="12"/>
        <v>34</v>
      </c>
      <c r="B41" s="5" t="s">
        <v>95</v>
      </c>
      <c r="C41" s="157" t="s">
        <v>298</v>
      </c>
      <c r="D41" s="157">
        <v>1</v>
      </c>
      <c r="E41" s="31" t="s">
        <v>300</v>
      </c>
      <c r="F41" s="157" t="s">
        <v>263</v>
      </c>
      <c r="G41" s="157" t="s">
        <v>263</v>
      </c>
      <c r="H41" s="255" t="s">
        <v>384</v>
      </c>
      <c r="I41" s="157"/>
      <c r="J41" s="143"/>
      <c r="K41" s="5" t="s">
        <v>105</v>
      </c>
      <c r="L41" s="5" t="s">
        <v>350</v>
      </c>
      <c r="M41" s="5" t="s">
        <v>351</v>
      </c>
      <c r="N41" s="224">
        <v>432</v>
      </c>
      <c r="O41" s="187"/>
      <c r="P41" s="158">
        <v>432</v>
      </c>
      <c r="Q41" s="30">
        <f t="shared" si="55"/>
        <v>1220.3389830508474</v>
      </c>
      <c r="R41" s="45">
        <v>1440</v>
      </c>
      <c r="S41" s="10">
        <f t="shared" si="3"/>
        <v>622080</v>
      </c>
      <c r="T41" s="127"/>
      <c r="U41" s="161"/>
      <c r="V41" s="131">
        <f t="shared" si="5"/>
        <v>622080</v>
      </c>
      <c r="W41" s="136">
        <f t="shared" si="28"/>
        <v>0</v>
      </c>
      <c r="X41" s="133"/>
      <c r="Y41" s="163">
        <v>0.25</v>
      </c>
      <c r="Z41" s="44">
        <f t="shared" ref="Z41" si="56">S41*Y41</f>
        <v>155520</v>
      </c>
      <c r="AA41" s="173">
        <v>46204</v>
      </c>
      <c r="AB41" s="164"/>
      <c r="AC41" s="165">
        <v>0.25</v>
      </c>
      <c r="AD41" s="44">
        <f t="shared" si="53"/>
        <v>155520</v>
      </c>
      <c r="AE41" s="173">
        <v>46235</v>
      </c>
      <c r="AF41" s="166"/>
      <c r="AG41" s="12">
        <v>0.25</v>
      </c>
      <c r="AH41" s="180">
        <f t="shared" ref="AH41" si="57">S41*AG41</f>
        <v>155520</v>
      </c>
      <c r="AI41" s="173">
        <v>46357</v>
      </c>
      <c r="AJ41" s="127"/>
      <c r="AK41" s="165">
        <v>0.25</v>
      </c>
      <c r="AL41" s="127">
        <f>AH41</f>
        <v>155520</v>
      </c>
      <c r="AM41" s="173">
        <v>46388</v>
      </c>
      <c r="AN41" s="127"/>
      <c r="AP41" s="240">
        <v>0</v>
      </c>
      <c r="AQ41" s="241">
        <f t="shared" si="20"/>
        <v>0</v>
      </c>
      <c r="AR41" s="240">
        <v>0</v>
      </c>
      <c r="AS41" s="60">
        <f t="shared" si="8"/>
        <v>622080</v>
      </c>
      <c r="AT41" s="111"/>
      <c r="AU41" s="111"/>
      <c r="AV41" s="111"/>
      <c r="AW41" s="111"/>
      <c r="AX41" s="111"/>
      <c r="AY41" s="111"/>
      <c r="AZ41" s="111"/>
      <c r="BA41" s="111"/>
      <c r="BB41" s="111"/>
      <c r="BC41" s="111"/>
      <c r="BD41" s="27"/>
      <c r="BE41" s="27"/>
      <c r="BF41" s="27"/>
      <c r="BG41" s="27"/>
      <c r="BH41" s="27"/>
      <c r="BI41" s="27"/>
      <c r="BJ41" s="27"/>
      <c r="BK41" s="27"/>
      <c r="BL41" s="27"/>
      <c r="BN41" s="15"/>
      <c r="BO41" s="15"/>
      <c r="BQ41" s="27"/>
      <c r="BS41" s="15"/>
      <c r="BU41" s="15"/>
      <c r="BV41" s="15"/>
      <c r="BW41" s="15"/>
      <c r="BX41" s="111"/>
      <c r="BY41" s="111"/>
      <c r="CC41" s="15"/>
      <c r="CD41" s="27"/>
      <c r="CF41" s="60"/>
      <c r="CG41" s="61"/>
    </row>
    <row r="42" spans="1:85">
      <c r="A42" s="155">
        <f t="shared" si="12"/>
        <v>35</v>
      </c>
      <c r="B42" s="38" t="s">
        <v>106</v>
      </c>
      <c r="C42" s="157" t="s">
        <v>298</v>
      </c>
      <c r="D42" s="31">
        <v>1</v>
      </c>
      <c r="E42" s="31" t="s">
        <v>269</v>
      </c>
      <c r="F42" s="31" t="s">
        <v>54</v>
      </c>
      <c r="G42" s="31" t="s">
        <v>54</v>
      </c>
      <c r="H42" s="254" t="s">
        <v>412</v>
      </c>
      <c r="I42" s="31"/>
      <c r="J42" s="31"/>
      <c r="K42" s="5" t="s">
        <v>105</v>
      </c>
      <c r="L42" s="5" t="s">
        <v>56</v>
      </c>
      <c r="M42" s="5" t="s">
        <v>57</v>
      </c>
      <c r="N42" s="192">
        <v>608</v>
      </c>
      <c r="O42" s="44">
        <f t="shared" si="49"/>
        <v>1276800</v>
      </c>
      <c r="P42" s="11">
        <v>608</v>
      </c>
      <c r="Q42" s="30">
        <f t="shared" si="55"/>
        <v>2100</v>
      </c>
      <c r="R42" s="142">
        <v>2478</v>
      </c>
      <c r="S42" s="10">
        <f t="shared" si="3"/>
        <v>1506624</v>
      </c>
      <c r="T42" s="10"/>
      <c r="U42" s="13"/>
      <c r="V42" s="131">
        <f t="shared" si="5"/>
        <v>1506624</v>
      </c>
      <c r="W42" s="136">
        <f t="shared" si="28"/>
        <v>0</v>
      </c>
      <c r="X42" s="65"/>
      <c r="Y42" s="12">
        <v>0.25</v>
      </c>
      <c r="Z42" s="10">
        <f t="shared" si="50"/>
        <v>376656</v>
      </c>
      <c r="AA42" s="216" t="s">
        <v>341</v>
      </c>
      <c r="AB42" s="22"/>
      <c r="AC42" s="132">
        <v>0.25</v>
      </c>
      <c r="AD42" s="10">
        <f t="shared" si="53"/>
        <v>376656</v>
      </c>
      <c r="AE42" s="173">
        <v>46235</v>
      </c>
      <c r="AF42" s="23"/>
      <c r="AG42" s="12">
        <v>0.25</v>
      </c>
      <c r="AH42" s="180">
        <f t="shared" si="54"/>
        <v>376656</v>
      </c>
      <c r="AI42" s="173">
        <v>46296</v>
      </c>
      <c r="AJ42" s="23"/>
      <c r="AK42" s="165">
        <v>0.25</v>
      </c>
      <c r="AL42" s="127">
        <f>AH42</f>
        <v>376656</v>
      </c>
      <c r="AM42" s="173">
        <v>46388</v>
      </c>
      <c r="AN42" s="23"/>
      <c r="AP42" s="240">
        <v>0</v>
      </c>
      <c r="AQ42" s="241">
        <f t="shared" si="20"/>
        <v>0</v>
      </c>
      <c r="AR42" s="240">
        <v>0</v>
      </c>
      <c r="AS42" s="60">
        <f t="shared" si="8"/>
        <v>1506624</v>
      </c>
      <c r="AT42" s="111"/>
      <c r="AU42" s="111"/>
      <c r="AV42" s="111"/>
      <c r="AW42" s="111"/>
      <c r="AX42" s="111"/>
      <c r="AY42" s="111"/>
      <c r="AZ42" s="111"/>
      <c r="BA42" s="111"/>
      <c r="BB42" s="111"/>
      <c r="BC42" s="111"/>
      <c r="BD42" s="27"/>
      <c r="BE42" s="27"/>
      <c r="BF42" s="27"/>
      <c r="BG42" s="27"/>
      <c r="BH42" s="27"/>
      <c r="BI42" s="27"/>
      <c r="BJ42" s="27"/>
      <c r="BK42" s="27"/>
      <c r="BL42" s="27"/>
      <c r="BN42" s="15"/>
      <c r="BO42" s="15"/>
      <c r="BQ42" s="27"/>
      <c r="BS42" s="15"/>
      <c r="BU42" s="15"/>
      <c r="BV42" s="15"/>
      <c r="BW42" s="15"/>
      <c r="BX42" s="111"/>
      <c r="BY42" s="111"/>
      <c r="CC42" s="15"/>
      <c r="CD42" s="27"/>
      <c r="CF42" s="60">
        <f t="shared" si="15"/>
        <v>0</v>
      </c>
      <c r="CG42" s="61" t="e">
        <f t="shared" si="16"/>
        <v>#DIV/0!</v>
      </c>
    </row>
    <row r="43" spans="1:85">
      <c r="A43" s="197">
        <f t="shared" si="12"/>
        <v>36</v>
      </c>
      <c r="B43" s="5" t="s">
        <v>70</v>
      </c>
      <c r="C43" s="157" t="s">
        <v>298</v>
      </c>
      <c r="D43" s="31">
        <v>1</v>
      </c>
      <c r="E43" s="31" t="s">
        <v>269</v>
      </c>
      <c r="F43" s="31" t="s">
        <v>54</v>
      </c>
      <c r="G43" s="31" t="s">
        <v>54</v>
      </c>
      <c r="H43" s="254" t="s">
        <v>414</v>
      </c>
      <c r="I43" s="31"/>
      <c r="J43" s="31"/>
      <c r="K43" s="5" t="s">
        <v>105</v>
      </c>
      <c r="L43" s="5" t="s">
        <v>71</v>
      </c>
      <c r="M43" s="5" t="s">
        <v>57</v>
      </c>
      <c r="N43" s="192">
        <v>1000</v>
      </c>
      <c r="O43" s="44">
        <f t="shared" si="49"/>
        <v>1770338.9830508474</v>
      </c>
      <c r="P43" s="11">
        <v>1000</v>
      </c>
      <c r="Q43" s="30">
        <f t="shared" si="55"/>
        <v>1770.3389830508474</v>
      </c>
      <c r="R43" s="45">
        <v>2089</v>
      </c>
      <c r="S43" s="10">
        <f t="shared" si="3"/>
        <v>2089000</v>
      </c>
      <c r="T43" s="13"/>
      <c r="V43" s="131">
        <f t="shared" si="5"/>
        <v>2089000</v>
      </c>
      <c r="W43" s="136">
        <f t="shared" si="28"/>
        <v>0</v>
      </c>
      <c r="X43" s="65"/>
      <c r="Y43" s="12">
        <v>0.05</v>
      </c>
      <c r="Z43" s="10">
        <f t="shared" si="50"/>
        <v>104450</v>
      </c>
      <c r="AA43" s="173">
        <v>46054</v>
      </c>
      <c r="AB43" s="22"/>
      <c r="AC43" s="132">
        <v>0.95</v>
      </c>
      <c r="AD43" s="10">
        <f t="shared" si="53"/>
        <v>1984550</v>
      </c>
      <c r="AE43" s="173">
        <v>46113</v>
      </c>
      <c r="AF43" s="23"/>
      <c r="AG43" s="12"/>
      <c r="AH43" s="10"/>
      <c r="AI43" s="23"/>
      <c r="AJ43" s="23"/>
      <c r="AK43" s="12"/>
      <c r="AL43" s="10"/>
      <c r="AM43" s="23"/>
      <c r="AN43" s="23"/>
      <c r="AP43" s="240">
        <v>0</v>
      </c>
      <c r="AQ43" s="241">
        <f t="shared" si="20"/>
        <v>0</v>
      </c>
      <c r="AR43" s="240">
        <v>0</v>
      </c>
      <c r="AS43" s="60">
        <f t="shared" si="8"/>
        <v>2089000</v>
      </c>
      <c r="AT43" s="111"/>
      <c r="AU43" s="111"/>
      <c r="AV43" s="111"/>
      <c r="AW43" s="111"/>
      <c r="AX43" s="111"/>
      <c r="AY43" s="111"/>
      <c r="AZ43" s="111"/>
      <c r="BA43" s="111"/>
      <c r="BB43" s="111"/>
      <c r="BC43" s="111"/>
      <c r="BD43" s="27"/>
      <c r="BE43" s="27"/>
      <c r="BF43" s="27"/>
      <c r="BG43" s="27"/>
      <c r="BH43" s="27"/>
      <c r="BI43" s="27"/>
      <c r="BJ43" s="27"/>
      <c r="BK43" s="27"/>
      <c r="BL43" s="27"/>
      <c r="BN43" s="15"/>
      <c r="BO43" s="15"/>
      <c r="BQ43" s="27"/>
      <c r="BS43" s="15"/>
      <c r="BU43" s="15"/>
      <c r="BV43" s="15"/>
      <c r="BW43" s="15"/>
      <c r="BX43" s="111"/>
      <c r="BY43" s="111"/>
      <c r="CC43" s="15"/>
      <c r="CD43" s="27"/>
      <c r="CF43" s="60">
        <f t="shared" si="15"/>
        <v>0</v>
      </c>
      <c r="CG43" s="61" t="e">
        <f t="shared" si="16"/>
        <v>#DIV/0!</v>
      </c>
    </row>
    <row r="44" spans="1:85">
      <c r="A44" s="197">
        <f t="shared" si="12"/>
        <v>37</v>
      </c>
      <c r="B44" s="5" t="s">
        <v>72</v>
      </c>
      <c r="C44" s="157" t="s">
        <v>298</v>
      </c>
      <c r="D44" s="31">
        <v>1</v>
      </c>
      <c r="E44" s="31" t="s">
        <v>272</v>
      </c>
      <c r="F44" s="31" t="s">
        <v>54</v>
      </c>
      <c r="G44" s="143" t="s">
        <v>54</v>
      </c>
      <c r="H44" s="254" t="s">
        <v>415</v>
      </c>
      <c r="I44" s="31"/>
      <c r="J44" s="31"/>
      <c r="K44" s="5" t="s">
        <v>105</v>
      </c>
      <c r="L44" s="5" t="s">
        <v>71</v>
      </c>
      <c r="M44" s="5" t="s">
        <v>57</v>
      </c>
      <c r="N44" s="192">
        <v>900</v>
      </c>
      <c r="O44" s="44">
        <f t="shared" si="49"/>
        <v>1593305.0847457626</v>
      </c>
      <c r="P44" s="140">
        <v>900</v>
      </c>
      <c r="Q44" s="30">
        <f t="shared" si="55"/>
        <v>1770.3389830508474</v>
      </c>
      <c r="R44" s="45">
        <v>2089</v>
      </c>
      <c r="S44" s="10">
        <f t="shared" si="3"/>
        <v>1880100</v>
      </c>
      <c r="T44" s="10"/>
      <c r="U44" s="13"/>
      <c r="V44" s="131">
        <f t="shared" si="5"/>
        <v>1880100</v>
      </c>
      <c r="W44" s="136">
        <f t="shared" si="28"/>
        <v>0</v>
      </c>
      <c r="X44" s="65"/>
      <c r="Y44" s="12">
        <v>0.25</v>
      </c>
      <c r="Z44" s="13">
        <f t="shared" si="50"/>
        <v>470025</v>
      </c>
      <c r="AA44" s="173">
        <v>46204</v>
      </c>
      <c r="AB44" s="22"/>
      <c r="AC44" s="132">
        <v>0.25</v>
      </c>
      <c r="AD44" s="13">
        <f t="shared" si="53"/>
        <v>470025</v>
      </c>
      <c r="AE44" s="173">
        <v>46266</v>
      </c>
      <c r="AF44" s="146"/>
      <c r="AG44" s="12">
        <v>0.25</v>
      </c>
      <c r="AH44" s="180">
        <f t="shared" ref="AH44:AH45" si="58">S44*AG44</f>
        <v>470025</v>
      </c>
      <c r="AI44" s="173">
        <v>46357</v>
      </c>
      <c r="AJ44" s="146"/>
      <c r="AK44" s="165">
        <v>0.25</v>
      </c>
      <c r="AL44" s="127">
        <f>AH44</f>
        <v>470025</v>
      </c>
      <c r="AM44" s="173">
        <v>46419</v>
      </c>
      <c r="AN44" s="23"/>
      <c r="AP44" s="240">
        <v>0</v>
      </c>
      <c r="AQ44" s="241">
        <f t="shared" si="20"/>
        <v>0</v>
      </c>
      <c r="AR44" s="240">
        <v>0</v>
      </c>
      <c r="AS44" s="60">
        <f t="shared" si="8"/>
        <v>1880100</v>
      </c>
      <c r="AT44" s="111"/>
      <c r="AU44" s="111"/>
      <c r="AV44" s="111"/>
      <c r="AW44" s="111"/>
      <c r="AX44" s="111"/>
      <c r="AY44" s="111"/>
      <c r="AZ44" s="111"/>
      <c r="BA44" s="111"/>
      <c r="BB44" s="111"/>
      <c r="BC44" s="111"/>
      <c r="BD44" s="27"/>
      <c r="BE44" s="27"/>
      <c r="BF44" s="27"/>
      <c r="BG44" s="27"/>
      <c r="BH44" s="27"/>
      <c r="BI44" s="27"/>
      <c r="BJ44" s="27"/>
      <c r="BK44" s="27"/>
      <c r="BL44" s="27"/>
      <c r="BN44" s="15"/>
      <c r="BO44" s="15"/>
      <c r="BQ44" s="27"/>
      <c r="BS44" s="15"/>
      <c r="BU44" s="15"/>
      <c r="BV44" s="15"/>
      <c r="BW44" s="15"/>
      <c r="BX44" s="111"/>
      <c r="BY44" s="111"/>
      <c r="CC44" s="15"/>
      <c r="CD44" s="27"/>
      <c r="CF44" s="60">
        <f t="shared" si="15"/>
        <v>0</v>
      </c>
      <c r="CG44" s="61" t="e">
        <f t="shared" si="16"/>
        <v>#DIV/0!</v>
      </c>
    </row>
    <row r="45" spans="1:85">
      <c r="A45" s="197">
        <f t="shared" si="12"/>
        <v>38</v>
      </c>
      <c r="B45" s="5" t="s">
        <v>88</v>
      </c>
      <c r="C45" s="157" t="s">
        <v>298</v>
      </c>
      <c r="D45" s="31">
        <v>1</v>
      </c>
      <c r="E45" s="31" t="s">
        <v>269</v>
      </c>
      <c r="F45" s="31" t="s">
        <v>54</v>
      </c>
      <c r="G45" s="31" t="s">
        <v>54</v>
      </c>
      <c r="H45" s="254" t="s">
        <v>416</v>
      </c>
      <c r="I45" s="31"/>
      <c r="J45" s="31"/>
      <c r="K45" s="5" t="s">
        <v>105</v>
      </c>
      <c r="L45" s="5" t="s">
        <v>56</v>
      </c>
      <c r="M45" s="5" t="s">
        <v>57</v>
      </c>
      <c r="N45" s="192">
        <v>500</v>
      </c>
      <c r="O45" s="145">
        <f t="shared" si="49"/>
        <v>559322.03389830515</v>
      </c>
      <c r="P45" s="38">
        <v>514</v>
      </c>
      <c r="Q45" s="30">
        <f t="shared" si="55"/>
        <v>1118.6440677966102</v>
      </c>
      <c r="R45" s="45">
        <v>1320</v>
      </c>
      <c r="S45" s="10">
        <f t="shared" si="3"/>
        <v>678480</v>
      </c>
      <c r="T45" s="10"/>
      <c r="U45" s="13"/>
      <c r="V45" s="131">
        <f t="shared" si="5"/>
        <v>678480</v>
      </c>
      <c r="W45" s="136">
        <f t="shared" si="28"/>
        <v>0</v>
      </c>
      <c r="X45" s="65"/>
      <c r="Y45" s="163">
        <v>0.25</v>
      </c>
      <c r="Z45" s="44">
        <f t="shared" ref="Z45:Z51" si="59">S45*Y45</f>
        <v>169620</v>
      </c>
      <c r="AA45" s="173">
        <v>46113</v>
      </c>
      <c r="AB45" s="164"/>
      <c r="AC45" s="165">
        <v>0.25</v>
      </c>
      <c r="AD45" s="44">
        <f t="shared" ref="AD45" si="60">S45*AC45</f>
        <v>169620</v>
      </c>
      <c r="AE45" s="173">
        <v>46204</v>
      </c>
      <c r="AF45" s="166"/>
      <c r="AG45" s="165">
        <v>0.25</v>
      </c>
      <c r="AH45" s="180">
        <f t="shared" si="58"/>
        <v>169620</v>
      </c>
      <c r="AI45" s="173">
        <v>46296</v>
      </c>
      <c r="AJ45" s="127"/>
      <c r="AK45" s="165">
        <v>0.25</v>
      </c>
      <c r="AL45" s="127">
        <f>AH45</f>
        <v>169620</v>
      </c>
      <c r="AM45" s="173">
        <v>46388</v>
      </c>
      <c r="AN45" s="10"/>
      <c r="AP45" s="240">
        <v>0</v>
      </c>
      <c r="AQ45" s="241">
        <f t="shared" si="20"/>
        <v>0</v>
      </c>
      <c r="AR45" s="240">
        <v>0</v>
      </c>
      <c r="AS45" s="60">
        <f t="shared" si="8"/>
        <v>678480</v>
      </c>
      <c r="AT45" s="111"/>
      <c r="AU45" s="111"/>
      <c r="AV45" s="111"/>
      <c r="AW45" s="111"/>
      <c r="AX45" s="111"/>
      <c r="AY45" s="111"/>
      <c r="AZ45" s="111"/>
      <c r="BA45" s="111"/>
      <c r="BB45" s="111"/>
      <c r="BC45" s="111"/>
      <c r="BD45" s="27"/>
      <c r="BE45" s="27"/>
      <c r="BF45" s="27"/>
      <c r="BG45" s="27"/>
      <c r="BH45" s="27"/>
      <c r="BI45" s="27"/>
      <c r="BJ45" s="27"/>
      <c r="BK45" s="27"/>
      <c r="BL45" s="27"/>
      <c r="BN45" s="15"/>
      <c r="BO45" s="15"/>
      <c r="BQ45" s="27"/>
      <c r="BS45" s="15"/>
      <c r="BU45" s="15"/>
      <c r="BV45" s="15"/>
      <c r="BW45" s="15"/>
      <c r="BX45" s="111"/>
      <c r="BY45" s="111"/>
      <c r="CC45" s="15"/>
      <c r="CD45" s="27"/>
      <c r="CF45" s="60">
        <f t="shared" si="15"/>
        <v>0</v>
      </c>
      <c r="CG45" s="61" t="e">
        <f t="shared" si="16"/>
        <v>#DIV/0!</v>
      </c>
    </row>
    <row r="46" spans="1:85">
      <c r="A46" s="197">
        <f t="shared" si="12"/>
        <v>39</v>
      </c>
      <c r="B46" s="5" t="s">
        <v>52</v>
      </c>
      <c r="C46" s="157" t="s">
        <v>298</v>
      </c>
      <c r="D46" s="31">
        <v>1</v>
      </c>
      <c r="E46" s="31" t="s">
        <v>269</v>
      </c>
      <c r="F46" s="31"/>
      <c r="G46" s="31" t="s">
        <v>53</v>
      </c>
      <c r="H46" s="255" t="s">
        <v>384</v>
      </c>
      <c r="I46" s="31"/>
      <c r="J46" s="31"/>
      <c r="K46" s="5" t="s">
        <v>105</v>
      </c>
      <c r="L46" s="5" t="s">
        <v>56</v>
      </c>
      <c r="M46" s="5" t="s">
        <v>57</v>
      </c>
      <c r="N46" s="38">
        <v>420</v>
      </c>
      <c r="O46" s="44">
        <f t="shared" si="49"/>
        <v>840000</v>
      </c>
      <c r="P46" s="144"/>
      <c r="Q46" s="30">
        <f t="shared" si="55"/>
        <v>2000</v>
      </c>
      <c r="R46" s="45">
        <v>2360</v>
      </c>
      <c r="S46" s="10">
        <f t="shared" si="3"/>
        <v>0</v>
      </c>
      <c r="T46" s="10">
        <v>352116</v>
      </c>
      <c r="U46" s="13"/>
      <c r="V46" s="131">
        <f t="shared" si="5"/>
        <v>-352116</v>
      </c>
      <c r="W46" s="136" t="e">
        <f t="shared" si="28"/>
        <v>#DIV/0!</v>
      </c>
      <c r="X46" s="65"/>
      <c r="Y46" s="12">
        <v>0.5</v>
      </c>
      <c r="Z46" s="44">
        <f t="shared" si="59"/>
        <v>0</v>
      </c>
      <c r="AA46" s="173">
        <v>46174</v>
      </c>
      <c r="AB46" s="35"/>
      <c r="AC46" s="132">
        <v>0.5</v>
      </c>
      <c r="AD46" s="44">
        <f t="shared" ref="AD46:AD53" si="61">S46*AC46</f>
        <v>0</v>
      </c>
      <c r="AE46" s="173">
        <v>46266</v>
      </c>
      <c r="AF46" s="23"/>
      <c r="AG46" s="12"/>
      <c r="AH46" s="10"/>
      <c r="AI46" s="23"/>
      <c r="AJ46" s="23"/>
      <c r="AK46" s="12"/>
      <c r="AL46" s="10"/>
      <c r="AM46" s="23"/>
      <c r="AN46" s="23"/>
      <c r="AP46" s="240">
        <v>352116</v>
      </c>
      <c r="AQ46" s="241">
        <v>0</v>
      </c>
      <c r="AR46" s="240">
        <v>0</v>
      </c>
      <c r="AS46" s="60">
        <f t="shared" si="8"/>
        <v>-352116</v>
      </c>
      <c r="AT46" s="111"/>
      <c r="AU46" s="111"/>
      <c r="AV46" s="111"/>
      <c r="AW46" s="111"/>
      <c r="AX46" s="111"/>
      <c r="AY46" s="111"/>
      <c r="AZ46" s="111"/>
      <c r="BA46" s="111"/>
      <c r="BB46" s="111"/>
      <c r="BC46" s="111"/>
      <c r="BD46" s="27"/>
      <c r="BE46" s="27"/>
      <c r="BF46" s="27"/>
      <c r="BG46" s="27"/>
      <c r="BH46" s="27"/>
      <c r="BI46" s="27"/>
      <c r="BJ46" s="27"/>
      <c r="BK46" s="27"/>
      <c r="BL46" s="27"/>
      <c r="BN46" s="15"/>
      <c r="BO46" s="15"/>
      <c r="BQ46" s="27"/>
      <c r="BS46" s="15"/>
      <c r="BU46" s="15"/>
      <c r="BV46" s="15"/>
      <c r="BW46" s="15"/>
      <c r="BX46" s="111"/>
      <c r="BY46" s="111"/>
      <c r="CC46" s="15"/>
      <c r="CD46" s="27"/>
      <c r="CF46" s="60">
        <f t="shared" si="15"/>
        <v>0</v>
      </c>
      <c r="CG46" s="61" t="e">
        <f t="shared" si="16"/>
        <v>#DIV/0!</v>
      </c>
    </row>
    <row r="47" spans="1:85">
      <c r="A47" s="197">
        <f t="shared" si="12"/>
        <v>40</v>
      </c>
      <c r="B47" s="5" t="s">
        <v>73</v>
      </c>
      <c r="C47" s="157" t="s">
        <v>298</v>
      </c>
      <c r="D47" s="31">
        <v>1</v>
      </c>
      <c r="E47" s="31" t="s">
        <v>273</v>
      </c>
      <c r="F47" s="31" t="s">
        <v>54</v>
      </c>
      <c r="G47" s="31" t="s">
        <v>54</v>
      </c>
      <c r="H47" s="293" t="s">
        <v>417</v>
      </c>
      <c r="I47" s="31"/>
      <c r="J47" s="31"/>
      <c r="K47" s="5" t="s">
        <v>105</v>
      </c>
      <c r="L47" s="5" t="s">
        <v>56</v>
      </c>
      <c r="M47" s="5" t="s">
        <v>57</v>
      </c>
      <c r="N47" s="192">
        <v>270</v>
      </c>
      <c r="O47" s="44">
        <f t="shared" si="49"/>
        <v>405000</v>
      </c>
      <c r="P47" s="175">
        <v>270</v>
      </c>
      <c r="Q47" s="30">
        <f t="shared" si="55"/>
        <v>1500</v>
      </c>
      <c r="R47" s="45">
        <v>1770</v>
      </c>
      <c r="S47" s="10">
        <f t="shared" si="3"/>
        <v>477900</v>
      </c>
      <c r="T47" s="10"/>
      <c r="U47" s="10"/>
      <c r="V47" s="131">
        <f t="shared" si="5"/>
        <v>477900</v>
      </c>
      <c r="W47" s="294">
        <f>SUM(T47:U47)/(S47+S48+S49+S50)</f>
        <v>0</v>
      </c>
      <c r="X47" s="65"/>
      <c r="Y47" s="12">
        <v>0.05</v>
      </c>
      <c r="Z47" s="44">
        <f t="shared" si="59"/>
        <v>23895</v>
      </c>
      <c r="AA47" s="173">
        <v>46054</v>
      </c>
      <c r="AB47" s="22"/>
      <c r="AC47" s="132">
        <v>0.95</v>
      </c>
      <c r="AD47" s="44">
        <f t="shared" si="61"/>
        <v>454005</v>
      </c>
      <c r="AE47" s="173">
        <v>46113</v>
      </c>
      <c r="AF47" s="22"/>
      <c r="AG47" s="10"/>
      <c r="AH47" s="10"/>
      <c r="AI47" s="10"/>
      <c r="AJ47" s="10"/>
      <c r="AK47" s="10"/>
      <c r="AL47" s="10"/>
      <c r="AM47" s="10"/>
      <c r="AN47" s="10"/>
      <c r="AP47" s="240">
        <v>0</v>
      </c>
      <c r="AQ47" s="241">
        <f t="shared" si="20"/>
        <v>0</v>
      </c>
      <c r="AR47" s="240">
        <v>0</v>
      </c>
      <c r="AS47" s="60">
        <f t="shared" si="8"/>
        <v>477900</v>
      </c>
      <c r="AT47" s="111"/>
      <c r="AU47" s="111"/>
      <c r="AV47" s="111"/>
      <c r="AW47" s="111"/>
      <c r="AX47" s="111"/>
      <c r="AY47" s="111"/>
      <c r="AZ47" s="111"/>
      <c r="BA47" s="111"/>
      <c r="BB47" s="111"/>
      <c r="BC47" s="111"/>
      <c r="BD47" s="27"/>
      <c r="BE47" s="27"/>
      <c r="BF47" s="27"/>
      <c r="BG47" s="27"/>
      <c r="BH47" s="27"/>
      <c r="BI47" s="27"/>
      <c r="BJ47" s="27"/>
      <c r="BK47" s="27"/>
      <c r="BL47" s="27"/>
      <c r="BN47" s="15"/>
      <c r="BO47" s="15"/>
      <c r="BQ47" s="27"/>
      <c r="BS47" s="15"/>
      <c r="BU47" s="15"/>
      <c r="BV47" s="15"/>
      <c r="BW47" s="15"/>
      <c r="BX47" s="111"/>
      <c r="BY47" s="111"/>
      <c r="CC47" s="15"/>
      <c r="CD47" s="27"/>
      <c r="CF47" s="60">
        <f t="shared" si="15"/>
        <v>0</v>
      </c>
      <c r="CG47" s="61" t="e">
        <f t="shared" si="16"/>
        <v>#DIV/0!</v>
      </c>
    </row>
    <row r="48" spans="1:85">
      <c r="A48" s="197">
        <f t="shared" si="12"/>
        <v>41</v>
      </c>
      <c r="B48" s="5" t="s">
        <v>74</v>
      </c>
      <c r="C48" s="157" t="s">
        <v>298</v>
      </c>
      <c r="D48" s="31">
        <v>1</v>
      </c>
      <c r="E48" s="31" t="s">
        <v>273</v>
      </c>
      <c r="F48" s="31" t="s">
        <v>54</v>
      </c>
      <c r="G48" s="31" t="s">
        <v>54</v>
      </c>
      <c r="H48" s="293"/>
      <c r="I48" s="31"/>
      <c r="J48" s="31"/>
      <c r="K48" s="5" t="s">
        <v>105</v>
      </c>
      <c r="L48" s="5" t="s">
        <v>75</v>
      </c>
      <c r="M48" s="5" t="s">
        <v>57</v>
      </c>
      <c r="N48" s="192">
        <v>474</v>
      </c>
      <c r="O48" s="44">
        <f t="shared" si="49"/>
        <v>711000</v>
      </c>
      <c r="P48" s="176">
        <v>474</v>
      </c>
      <c r="Q48" s="30">
        <f t="shared" si="55"/>
        <v>1500</v>
      </c>
      <c r="R48" s="45">
        <v>1770</v>
      </c>
      <c r="S48" s="10">
        <f t="shared" si="3"/>
        <v>838980</v>
      </c>
      <c r="T48" s="10"/>
      <c r="U48" s="10"/>
      <c r="V48" s="131">
        <f t="shared" si="5"/>
        <v>838980</v>
      </c>
      <c r="W48" s="295"/>
      <c r="X48" s="65"/>
      <c r="Y48" s="12">
        <v>0.05</v>
      </c>
      <c r="Z48" s="44">
        <f t="shared" si="59"/>
        <v>41949</v>
      </c>
      <c r="AA48" s="173">
        <v>46054</v>
      </c>
      <c r="AB48" s="22"/>
      <c r="AC48" s="132">
        <v>0.95</v>
      </c>
      <c r="AD48" s="44">
        <f t="shared" si="61"/>
        <v>797031</v>
      </c>
      <c r="AE48" s="173">
        <v>46113</v>
      </c>
      <c r="AF48" s="22"/>
      <c r="AG48" s="10"/>
      <c r="AH48" s="10"/>
      <c r="AI48" s="10"/>
      <c r="AJ48" s="10"/>
      <c r="AK48" s="10"/>
      <c r="AL48" s="10"/>
      <c r="AM48" s="10"/>
      <c r="AN48" s="10"/>
      <c r="AP48" s="240">
        <v>0</v>
      </c>
      <c r="AQ48" s="241">
        <f t="shared" si="20"/>
        <v>0</v>
      </c>
      <c r="AR48" s="240">
        <v>0</v>
      </c>
      <c r="AS48" s="60">
        <f t="shared" si="8"/>
        <v>838980</v>
      </c>
      <c r="AT48" s="111"/>
      <c r="AU48" s="111"/>
      <c r="AV48" s="111"/>
      <c r="AW48" s="111"/>
      <c r="AX48" s="111"/>
      <c r="AY48" s="111"/>
      <c r="AZ48" s="111"/>
      <c r="BA48" s="111"/>
      <c r="BB48" s="111"/>
      <c r="BC48" s="111"/>
      <c r="BD48" s="27"/>
      <c r="BE48" s="27"/>
      <c r="BF48" s="27"/>
      <c r="BG48" s="27"/>
      <c r="BH48" s="27"/>
      <c r="BI48" s="27"/>
      <c r="BJ48" s="27"/>
      <c r="BK48" s="27"/>
      <c r="BL48" s="27"/>
      <c r="BN48" s="15"/>
      <c r="BO48" s="15"/>
      <c r="BQ48" s="27"/>
      <c r="BS48" s="15"/>
      <c r="BU48" s="15"/>
      <c r="BV48" s="15"/>
      <c r="BW48" s="15"/>
      <c r="BX48" s="111"/>
      <c r="BY48" s="111"/>
      <c r="CC48" s="15"/>
      <c r="CD48" s="27"/>
      <c r="CF48" s="60">
        <f t="shared" si="15"/>
        <v>0</v>
      </c>
      <c r="CG48" s="61" t="e">
        <f t="shared" si="16"/>
        <v>#DIV/0!</v>
      </c>
    </row>
    <row r="49" spans="1:85">
      <c r="A49" s="197">
        <f t="shared" si="12"/>
        <v>42</v>
      </c>
      <c r="B49" s="5" t="s">
        <v>76</v>
      </c>
      <c r="C49" s="157" t="s">
        <v>298</v>
      </c>
      <c r="D49" s="31">
        <v>1</v>
      </c>
      <c r="E49" s="31" t="s">
        <v>273</v>
      </c>
      <c r="F49" s="31" t="s">
        <v>54</v>
      </c>
      <c r="G49" s="31" t="s">
        <v>54</v>
      </c>
      <c r="H49" s="293"/>
      <c r="I49" s="31"/>
      <c r="J49" s="31"/>
      <c r="K49" s="5" t="s">
        <v>105</v>
      </c>
      <c r="L49" s="5" t="s">
        <v>77</v>
      </c>
      <c r="M49" s="5" t="s">
        <v>57</v>
      </c>
      <c r="N49" s="192">
        <v>589</v>
      </c>
      <c r="O49" s="44">
        <f t="shared" si="49"/>
        <v>883500</v>
      </c>
      <c r="P49" s="176">
        <v>589</v>
      </c>
      <c r="Q49" s="30">
        <f t="shared" si="55"/>
        <v>1500</v>
      </c>
      <c r="R49" s="45">
        <v>1770</v>
      </c>
      <c r="S49" s="10">
        <f t="shared" si="3"/>
        <v>1042530</v>
      </c>
      <c r="T49" s="10"/>
      <c r="U49" s="10"/>
      <c r="V49" s="131">
        <f t="shared" si="5"/>
        <v>1042530</v>
      </c>
      <c r="W49" s="295"/>
      <c r="X49" s="65"/>
      <c r="Y49" s="12">
        <v>0.05</v>
      </c>
      <c r="Z49" s="44">
        <f t="shared" si="59"/>
        <v>52126.5</v>
      </c>
      <c r="AA49" s="173">
        <v>46054</v>
      </c>
      <c r="AB49" s="22"/>
      <c r="AC49" s="132">
        <v>0.95</v>
      </c>
      <c r="AD49" s="44">
        <f t="shared" si="61"/>
        <v>990403.5</v>
      </c>
      <c r="AE49" s="173">
        <v>46113</v>
      </c>
      <c r="AF49" s="22"/>
      <c r="AG49" s="10"/>
      <c r="AH49" s="10"/>
      <c r="AI49" s="10"/>
      <c r="AJ49" s="10"/>
      <c r="AK49" s="10"/>
      <c r="AL49" s="10"/>
      <c r="AM49" s="10"/>
      <c r="AN49" s="10"/>
      <c r="AP49" s="240">
        <v>0</v>
      </c>
      <c r="AQ49" s="241">
        <f t="shared" si="20"/>
        <v>0</v>
      </c>
      <c r="AR49" s="240">
        <v>0</v>
      </c>
      <c r="AS49" s="60">
        <f t="shared" si="8"/>
        <v>1042530</v>
      </c>
      <c r="AT49" s="111"/>
      <c r="AU49" s="111"/>
      <c r="AV49" s="111"/>
      <c r="AW49" s="111"/>
      <c r="AX49" s="111"/>
      <c r="AY49" s="111"/>
      <c r="AZ49" s="111"/>
      <c r="BA49" s="111"/>
      <c r="BB49" s="111"/>
      <c r="BC49" s="111"/>
      <c r="BD49" s="27"/>
      <c r="BE49" s="27"/>
      <c r="BF49" s="27"/>
      <c r="BG49" s="27"/>
      <c r="BH49" s="27"/>
      <c r="BI49" s="27"/>
      <c r="BJ49" s="27"/>
      <c r="BK49" s="27"/>
      <c r="BL49" s="27"/>
      <c r="BN49" s="15"/>
      <c r="BO49" s="15"/>
      <c r="BQ49" s="27"/>
      <c r="BS49" s="15"/>
      <c r="BU49" s="15"/>
      <c r="BV49" s="15"/>
      <c r="BW49" s="15"/>
      <c r="BX49" s="111"/>
      <c r="BY49" s="111"/>
      <c r="CC49" s="15"/>
      <c r="CD49" s="27"/>
      <c r="CF49" s="60">
        <f t="shared" si="15"/>
        <v>0</v>
      </c>
      <c r="CG49" s="61" t="e">
        <f t="shared" si="16"/>
        <v>#DIV/0!</v>
      </c>
    </row>
    <row r="50" spans="1:85">
      <c r="A50" s="197">
        <f t="shared" si="12"/>
        <v>43</v>
      </c>
      <c r="B50" s="5" t="s">
        <v>78</v>
      </c>
      <c r="C50" s="157" t="s">
        <v>298</v>
      </c>
      <c r="D50" s="31">
        <v>1</v>
      </c>
      <c r="E50" s="31" t="s">
        <v>273</v>
      </c>
      <c r="F50" s="31" t="s">
        <v>54</v>
      </c>
      <c r="G50" s="31" t="s">
        <v>54</v>
      </c>
      <c r="H50" s="293"/>
      <c r="I50" s="31"/>
      <c r="J50" s="31"/>
      <c r="K50" s="5" t="s">
        <v>105</v>
      </c>
      <c r="L50" s="5" t="s">
        <v>79</v>
      </c>
      <c r="M50" s="5" t="s">
        <v>57</v>
      </c>
      <c r="N50" s="192">
        <v>239</v>
      </c>
      <c r="O50" s="44">
        <f t="shared" si="49"/>
        <v>358500</v>
      </c>
      <c r="P50" s="176">
        <v>239</v>
      </c>
      <c r="Q50" s="30">
        <f t="shared" si="55"/>
        <v>1500</v>
      </c>
      <c r="R50" s="45">
        <v>1770</v>
      </c>
      <c r="S50" s="10">
        <f t="shared" si="3"/>
        <v>423030</v>
      </c>
      <c r="T50" s="10"/>
      <c r="U50" s="10"/>
      <c r="V50" s="131">
        <f t="shared" si="5"/>
        <v>423030</v>
      </c>
      <c r="W50" s="296"/>
      <c r="X50" s="65"/>
      <c r="Y50" s="12">
        <v>0.05</v>
      </c>
      <c r="Z50" s="44">
        <f t="shared" si="59"/>
        <v>21151.5</v>
      </c>
      <c r="AA50" s="173">
        <v>46054</v>
      </c>
      <c r="AB50" s="22"/>
      <c r="AC50" s="132">
        <v>0.95</v>
      </c>
      <c r="AD50" s="44">
        <f t="shared" si="61"/>
        <v>401878.5</v>
      </c>
      <c r="AE50" s="173">
        <v>46113</v>
      </c>
      <c r="AF50" s="22"/>
      <c r="AG50" s="10"/>
      <c r="AH50" s="10"/>
      <c r="AI50" s="10"/>
      <c r="AJ50" s="10"/>
      <c r="AK50" s="10"/>
      <c r="AL50" s="10"/>
      <c r="AM50" s="10"/>
      <c r="AN50" s="10"/>
      <c r="AP50" s="240">
        <v>0</v>
      </c>
      <c r="AQ50" s="241">
        <f t="shared" si="20"/>
        <v>0</v>
      </c>
      <c r="AR50" s="240">
        <v>0</v>
      </c>
      <c r="AS50" s="60">
        <f t="shared" si="8"/>
        <v>423030</v>
      </c>
      <c r="AT50" s="111"/>
      <c r="AU50" s="111"/>
      <c r="AV50" s="111"/>
      <c r="AW50" s="111"/>
      <c r="AX50" s="111"/>
      <c r="AY50" s="111"/>
      <c r="AZ50" s="111"/>
      <c r="BA50" s="111"/>
      <c r="BB50" s="111"/>
      <c r="BC50" s="111"/>
      <c r="BD50" s="27"/>
      <c r="BE50" s="27"/>
      <c r="BF50" s="27"/>
      <c r="BG50" s="27"/>
      <c r="BH50" s="27"/>
      <c r="BI50" s="27"/>
      <c r="BJ50" s="27"/>
      <c r="BK50" s="27"/>
      <c r="BL50" s="27"/>
      <c r="BN50" s="15"/>
      <c r="BO50" s="15"/>
      <c r="BQ50" s="27"/>
      <c r="BS50" s="15"/>
      <c r="BU50" s="15"/>
      <c r="BV50" s="15"/>
      <c r="BW50" s="15"/>
      <c r="BX50" s="111"/>
      <c r="BY50" s="111"/>
      <c r="CC50" s="15"/>
      <c r="CD50" s="27"/>
      <c r="CF50" s="60">
        <f t="shared" si="15"/>
        <v>0</v>
      </c>
      <c r="CG50" s="61" t="e">
        <f t="shared" si="16"/>
        <v>#DIV/0!</v>
      </c>
    </row>
    <row r="51" spans="1:85">
      <c r="A51" s="197">
        <f t="shared" si="12"/>
        <v>44</v>
      </c>
      <c r="B51" s="5" t="s">
        <v>80</v>
      </c>
      <c r="C51" s="157" t="s">
        <v>298</v>
      </c>
      <c r="D51" s="31">
        <v>1</v>
      </c>
      <c r="E51" s="31" t="s">
        <v>269</v>
      </c>
      <c r="F51" s="31" t="s">
        <v>263</v>
      </c>
      <c r="G51" s="31" t="s">
        <v>54</v>
      </c>
      <c r="H51" s="254" t="s">
        <v>406</v>
      </c>
      <c r="I51" s="31"/>
      <c r="J51" s="31" t="s">
        <v>336</v>
      </c>
      <c r="K51" s="5" t="s">
        <v>362</v>
      </c>
      <c r="L51" s="5" t="s">
        <v>56</v>
      </c>
      <c r="M51" s="5" t="s">
        <v>57</v>
      </c>
      <c r="N51" s="192">
        <v>450</v>
      </c>
      <c r="O51" s="44">
        <f t="shared" si="49"/>
        <v>931652.54237288143</v>
      </c>
      <c r="P51" s="176">
        <v>450</v>
      </c>
      <c r="Q51" s="30">
        <f t="shared" si="55"/>
        <v>2070.3389830508477</v>
      </c>
      <c r="R51" s="45">
        <v>2443</v>
      </c>
      <c r="S51" s="10">
        <f t="shared" si="3"/>
        <v>1099350</v>
      </c>
      <c r="T51" s="10"/>
      <c r="U51" s="10"/>
      <c r="V51" s="131">
        <f t="shared" si="5"/>
        <v>1099350</v>
      </c>
      <c r="W51" s="136">
        <f t="shared" ref="W51:W69" si="62">SUM(T51:U51)/S51</f>
        <v>0</v>
      </c>
      <c r="X51" s="65"/>
      <c r="Y51" s="163">
        <v>0.25</v>
      </c>
      <c r="Z51" s="44">
        <f t="shared" si="59"/>
        <v>274837.5</v>
      </c>
      <c r="AA51" s="173">
        <v>46113</v>
      </c>
      <c r="AB51" s="22"/>
      <c r="AC51" s="165">
        <v>0.25</v>
      </c>
      <c r="AD51" s="44">
        <f t="shared" si="61"/>
        <v>274837.5</v>
      </c>
      <c r="AE51" s="173">
        <v>46204</v>
      </c>
      <c r="AF51" s="22"/>
      <c r="AG51" s="165">
        <v>0.25</v>
      </c>
      <c r="AH51" s="180">
        <f t="shared" ref="AH51:AH53" si="63">S51*AG51</f>
        <v>274837.5</v>
      </c>
      <c r="AI51" s="217" t="s">
        <v>331</v>
      </c>
      <c r="AJ51" s="10"/>
      <c r="AK51" s="12">
        <v>0.25</v>
      </c>
      <c r="AL51" s="127">
        <f>AH51</f>
        <v>274837.5</v>
      </c>
      <c r="AM51" s="217" t="s">
        <v>332</v>
      </c>
      <c r="AN51" s="10"/>
      <c r="AP51" s="240">
        <v>0</v>
      </c>
      <c r="AQ51" s="241">
        <f t="shared" si="20"/>
        <v>0</v>
      </c>
      <c r="AR51" s="240">
        <v>0</v>
      </c>
      <c r="AS51" s="60">
        <f t="shared" si="8"/>
        <v>1099350</v>
      </c>
      <c r="AT51" s="111"/>
      <c r="AU51" s="111"/>
      <c r="AV51" s="111"/>
      <c r="AW51" s="111"/>
      <c r="AX51" s="111"/>
      <c r="AY51" s="111"/>
      <c r="AZ51" s="111"/>
      <c r="BA51" s="111"/>
      <c r="BB51" s="111"/>
      <c r="BC51" s="111"/>
      <c r="BD51" s="27"/>
      <c r="BE51" s="27"/>
      <c r="BF51" s="27"/>
      <c r="BG51" s="27"/>
      <c r="BH51" s="27"/>
      <c r="BI51" s="27"/>
      <c r="BJ51" s="27"/>
      <c r="BK51" s="27"/>
      <c r="BL51" s="27"/>
      <c r="BN51" s="15"/>
      <c r="BO51" s="15"/>
      <c r="BQ51" s="27"/>
      <c r="BS51" s="15"/>
      <c r="BU51" s="15"/>
      <c r="BV51" s="15"/>
      <c r="BW51" s="15"/>
      <c r="BX51" s="111"/>
      <c r="BY51" s="111"/>
      <c r="CC51" s="15"/>
      <c r="CD51" s="27"/>
      <c r="CF51" s="60"/>
      <c r="CG51" s="61"/>
    </row>
    <row r="52" spans="1:85">
      <c r="A52" s="197"/>
      <c r="B52" s="5" t="s">
        <v>80</v>
      </c>
      <c r="C52" s="157" t="s">
        <v>298</v>
      </c>
      <c r="D52" s="31">
        <v>1</v>
      </c>
      <c r="E52" s="31" t="s">
        <v>269</v>
      </c>
      <c r="F52" s="31" t="s">
        <v>263</v>
      </c>
      <c r="G52" s="31" t="s">
        <v>54</v>
      </c>
      <c r="H52" s="254" t="s">
        <v>406</v>
      </c>
      <c r="I52" s="31"/>
      <c r="J52" s="31" t="s">
        <v>336</v>
      </c>
      <c r="K52" s="5" t="s">
        <v>362</v>
      </c>
      <c r="L52" s="5" t="s">
        <v>56</v>
      </c>
      <c r="M52" s="5" t="s">
        <v>57</v>
      </c>
      <c r="N52" s="192">
        <v>150</v>
      </c>
      <c r="O52" s="44">
        <f t="shared" si="49"/>
        <v>270000</v>
      </c>
      <c r="P52" s="176">
        <v>150</v>
      </c>
      <c r="Q52" s="30">
        <f t="shared" si="55"/>
        <v>1800</v>
      </c>
      <c r="R52" s="45">
        <v>2124</v>
      </c>
      <c r="S52" s="10">
        <f t="shared" si="3"/>
        <v>318600</v>
      </c>
      <c r="T52" s="10"/>
      <c r="U52" s="10"/>
      <c r="V52" s="131">
        <f t="shared" si="5"/>
        <v>318600</v>
      </c>
      <c r="W52" s="136">
        <f t="shared" si="62"/>
        <v>0</v>
      </c>
      <c r="X52" s="65"/>
      <c r="Y52" s="163">
        <v>0.25</v>
      </c>
      <c r="Z52" s="44">
        <f t="shared" ref="Z52" si="64">S52*Y52</f>
        <v>79650</v>
      </c>
      <c r="AA52" s="173">
        <v>46113</v>
      </c>
      <c r="AB52" s="22"/>
      <c r="AC52" s="165">
        <v>0.25</v>
      </c>
      <c r="AD52" s="44">
        <f t="shared" ref="AD52" si="65">S52*AC52</f>
        <v>79650</v>
      </c>
      <c r="AE52" s="173">
        <v>46204</v>
      </c>
      <c r="AF52" s="22"/>
      <c r="AG52" s="165">
        <v>0.25</v>
      </c>
      <c r="AH52" s="180">
        <f t="shared" ref="AH52" si="66">S52*AG52</f>
        <v>79650</v>
      </c>
      <c r="AI52" s="217" t="s">
        <v>331</v>
      </c>
      <c r="AJ52" s="10"/>
      <c r="AK52" s="12">
        <v>0.25</v>
      </c>
      <c r="AL52" s="127">
        <f>AH52</f>
        <v>79650</v>
      </c>
      <c r="AM52" s="217" t="s">
        <v>332</v>
      </c>
      <c r="AN52" s="10"/>
      <c r="AP52" s="240">
        <v>0</v>
      </c>
      <c r="AQ52" s="241">
        <f t="shared" si="20"/>
        <v>0</v>
      </c>
      <c r="AR52" s="240">
        <v>0</v>
      </c>
      <c r="AS52" s="60">
        <f t="shared" si="8"/>
        <v>318600</v>
      </c>
      <c r="AT52" s="111"/>
      <c r="AU52" s="111"/>
      <c r="AV52" s="111"/>
      <c r="AW52" s="111"/>
      <c r="AX52" s="111"/>
      <c r="AY52" s="111"/>
      <c r="AZ52" s="111"/>
      <c r="BA52" s="111"/>
      <c r="BB52" s="111"/>
      <c r="BC52" s="111"/>
      <c r="BD52" s="27"/>
      <c r="BE52" s="27"/>
      <c r="BF52" s="27"/>
      <c r="BG52" s="27"/>
      <c r="BH52" s="27"/>
      <c r="BI52" s="27"/>
      <c r="BJ52" s="27"/>
      <c r="BK52" s="27"/>
      <c r="BL52" s="27"/>
      <c r="BN52" s="15"/>
      <c r="BO52" s="15"/>
      <c r="BQ52" s="27"/>
      <c r="BS52" s="15"/>
      <c r="BU52" s="15"/>
      <c r="BV52" s="15"/>
      <c r="BW52" s="15"/>
      <c r="BX52" s="111"/>
      <c r="BY52" s="111"/>
      <c r="CC52" s="15"/>
      <c r="CD52" s="27"/>
      <c r="CF52" s="60"/>
      <c r="CG52" s="61"/>
    </row>
    <row r="53" spans="1:85">
      <c r="A53" s="197">
        <f>A51+1</f>
        <v>45</v>
      </c>
      <c r="B53" s="5" t="s">
        <v>82</v>
      </c>
      <c r="C53" s="157" t="s">
        <v>298</v>
      </c>
      <c r="D53" s="31">
        <v>1</v>
      </c>
      <c r="E53" s="31" t="s">
        <v>269</v>
      </c>
      <c r="F53" s="31" t="s">
        <v>263</v>
      </c>
      <c r="G53" s="31" t="s">
        <v>263</v>
      </c>
      <c r="H53" s="255" t="s">
        <v>384</v>
      </c>
      <c r="I53" s="31" t="s">
        <v>183</v>
      </c>
      <c r="J53" s="31"/>
      <c r="K53" s="5" t="s">
        <v>105</v>
      </c>
      <c r="L53" s="5" t="s">
        <v>86</v>
      </c>
      <c r="M53" s="5" t="s">
        <v>57</v>
      </c>
      <c r="N53" s="192">
        <v>250</v>
      </c>
      <c r="O53" s="44">
        <f t="shared" si="49"/>
        <v>450000</v>
      </c>
      <c r="P53" s="176">
        <v>243</v>
      </c>
      <c r="Q53" s="30">
        <f t="shared" si="55"/>
        <v>1800</v>
      </c>
      <c r="R53" s="45">
        <v>2124</v>
      </c>
      <c r="S53" s="10">
        <f t="shared" si="3"/>
        <v>516132</v>
      </c>
      <c r="T53" s="10">
        <v>50738</v>
      </c>
      <c r="U53" s="10">
        <f>874.8</f>
        <v>874.8</v>
      </c>
      <c r="V53" s="131">
        <f t="shared" si="5"/>
        <v>464519.2</v>
      </c>
      <c r="W53" s="136">
        <f t="shared" si="62"/>
        <v>9.9999225004456224E-2</v>
      </c>
      <c r="X53" s="65"/>
      <c r="Y53" s="183">
        <v>0.1</v>
      </c>
      <c r="Z53" s="226">
        <f t="shared" ref="Z53" si="67">S53*Y53</f>
        <v>51613.200000000004</v>
      </c>
      <c r="AA53" s="185">
        <v>46113</v>
      </c>
      <c r="AB53" s="121" t="s">
        <v>145</v>
      </c>
      <c r="AC53" s="165">
        <v>0.4</v>
      </c>
      <c r="AD53" s="44">
        <f t="shared" si="61"/>
        <v>206452.80000000002</v>
      </c>
      <c r="AE53" s="173">
        <v>46204</v>
      </c>
      <c r="AF53" s="22"/>
      <c r="AG53" s="165">
        <v>0.5</v>
      </c>
      <c r="AH53" s="180">
        <f t="shared" si="63"/>
        <v>258066</v>
      </c>
      <c r="AI53" s="173">
        <v>46296</v>
      </c>
      <c r="AJ53" s="10"/>
      <c r="AK53" s="10"/>
      <c r="AL53" s="10"/>
      <c r="AM53" s="10"/>
      <c r="AN53" s="10"/>
      <c r="AP53" s="240">
        <v>0</v>
      </c>
      <c r="AQ53" s="246">
        <f t="shared" si="20"/>
        <v>51612.800000000003</v>
      </c>
      <c r="AR53" s="240">
        <v>0</v>
      </c>
      <c r="AS53" s="60">
        <f t="shared" si="8"/>
        <v>464519.2</v>
      </c>
      <c r="AT53" s="111"/>
      <c r="AU53" s="111"/>
      <c r="AV53" s="111"/>
      <c r="AW53" s="111"/>
      <c r="AX53" s="111"/>
      <c r="AY53" s="111"/>
      <c r="AZ53" s="111"/>
      <c r="BA53" s="111"/>
      <c r="BB53" s="111"/>
      <c r="BC53" s="111"/>
      <c r="BD53" s="27"/>
      <c r="BE53" s="27"/>
      <c r="BF53" s="27"/>
      <c r="BG53" s="27"/>
      <c r="BH53" s="27"/>
      <c r="BI53" s="27"/>
      <c r="BJ53" s="27"/>
      <c r="BK53" s="27"/>
      <c r="BL53" s="27"/>
      <c r="BN53" s="15"/>
      <c r="BO53" s="15"/>
      <c r="BQ53" s="27"/>
      <c r="BS53" s="15"/>
      <c r="BU53" s="15"/>
      <c r="BV53" s="15"/>
      <c r="BW53" s="15"/>
      <c r="BX53" s="111"/>
      <c r="BY53" s="111"/>
      <c r="CC53" s="15"/>
      <c r="CD53" s="27"/>
      <c r="CF53" s="60"/>
      <c r="CG53" s="61"/>
    </row>
    <row r="54" spans="1:85">
      <c r="A54" s="197"/>
      <c r="B54" s="5" t="s">
        <v>82</v>
      </c>
      <c r="C54" s="157" t="s">
        <v>298</v>
      </c>
      <c r="D54" s="31">
        <v>1</v>
      </c>
      <c r="E54" s="31" t="s">
        <v>269</v>
      </c>
      <c r="F54" s="31" t="s">
        <v>263</v>
      </c>
      <c r="G54" s="31" t="s">
        <v>263</v>
      </c>
      <c r="H54" s="255" t="s">
        <v>384</v>
      </c>
      <c r="I54" s="31" t="s">
        <v>183</v>
      </c>
      <c r="J54" s="31" t="s">
        <v>361</v>
      </c>
      <c r="K54" s="5" t="s">
        <v>105</v>
      </c>
      <c r="L54" s="5" t="s">
        <v>86</v>
      </c>
      <c r="M54" s="5" t="s">
        <v>57</v>
      </c>
      <c r="N54" s="192">
        <v>250</v>
      </c>
      <c r="O54" s="44">
        <f t="shared" ref="O54" si="68">N54*Q54</f>
        <v>350000</v>
      </c>
      <c r="P54" s="176">
        <v>181</v>
      </c>
      <c r="Q54" s="30">
        <f t="shared" si="55"/>
        <v>1400</v>
      </c>
      <c r="R54" s="45">
        <v>1652</v>
      </c>
      <c r="S54" s="10">
        <f t="shared" si="3"/>
        <v>299012</v>
      </c>
      <c r="T54" s="10">
        <f>29394.2</f>
        <v>29394.2</v>
      </c>
      <c r="U54" s="10">
        <f>506.8</f>
        <v>506.8</v>
      </c>
      <c r="V54" s="131">
        <f t="shared" si="5"/>
        <v>269111</v>
      </c>
      <c r="W54" s="136">
        <f t="shared" ref="W54" si="69">SUM(T54:U54)/S54</f>
        <v>9.9999331130523186E-2</v>
      </c>
      <c r="X54" s="65"/>
      <c r="Y54" s="183">
        <v>0.1</v>
      </c>
      <c r="Z54" s="226">
        <f t="shared" ref="Z54" si="70">S54*Y54</f>
        <v>29901.200000000001</v>
      </c>
      <c r="AA54" s="185">
        <v>46113</v>
      </c>
      <c r="AB54" s="121" t="s">
        <v>145</v>
      </c>
      <c r="AC54" s="165">
        <v>0.4</v>
      </c>
      <c r="AD54" s="44">
        <f t="shared" ref="AD54" si="71">S54*AC54</f>
        <v>119604.8</v>
      </c>
      <c r="AE54" s="173">
        <v>46204</v>
      </c>
      <c r="AF54" s="22"/>
      <c r="AG54" s="165">
        <v>0.5</v>
      </c>
      <c r="AH54" s="180">
        <f t="shared" ref="AH54" si="72">S54*AG54</f>
        <v>149506</v>
      </c>
      <c r="AI54" s="173">
        <v>46296</v>
      </c>
      <c r="AJ54" s="10"/>
      <c r="AK54" s="10"/>
      <c r="AL54" s="10"/>
      <c r="AM54" s="10"/>
      <c r="AN54" s="10"/>
      <c r="AP54" s="240">
        <v>0</v>
      </c>
      <c r="AQ54" s="246">
        <f t="shared" si="20"/>
        <v>29901</v>
      </c>
      <c r="AR54" s="240">
        <v>0</v>
      </c>
      <c r="AS54" s="60">
        <f t="shared" si="8"/>
        <v>269111</v>
      </c>
      <c r="AT54" s="111"/>
      <c r="AU54" s="111"/>
      <c r="AV54" s="111"/>
      <c r="AW54" s="111"/>
      <c r="AX54" s="111"/>
      <c r="AY54" s="111"/>
      <c r="AZ54" s="111"/>
      <c r="BA54" s="111"/>
      <c r="BB54" s="111"/>
      <c r="BC54" s="111"/>
      <c r="BD54" s="27"/>
      <c r="BE54" s="27"/>
      <c r="BF54" s="27"/>
      <c r="BG54" s="27"/>
      <c r="BH54" s="27"/>
      <c r="BI54" s="27"/>
      <c r="BJ54" s="27"/>
      <c r="BK54" s="27"/>
      <c r="BL54" s="27"/>
      <c r="BN54" s="15"/>
      <c r="BO54" s="15"/>
      <c r="BQ54" s="27"/>
      <c r="BS54" s="15"/>
      <c r="BU54" s="15"/>
      <c r="BV54" s="15"/>
      <c r="BW54" s="15"/>
      <c r="BX54" s="111"/>
      <c r="BY54" s="111"/>
      <c r="CC54" s="15"/>
      <c r="CD54" s="27"/>
      <c r="CF54" s="60"/>
      <c r="CG54" s="61"/>
    </row>
    <row r="55" spans="1:85">
      <c r="A55" s="197">
        <f>A53+1</f>
        <v>46</v>
      </c>
      <c r="B55" s="5" t="s">
        <v>83</v>
      </c>
      <c r="C55" s="157" t="s">
        <v>298</v>
      </c>
      <c r="D55" s="31">
        <v>1</v>
      </c>
      <c r="E55" s="31" t="s">
        <v>269</v>
      </c>
      <c r="F55" s="31"/>
      <c r="G55" s="31" t="s">
        <v>54</v>
      </c>
      <c r="H55" s="254" t="s">
        <v>418</v>
      </c>
      <c r="I55" s="31"/>
      <c r="J55" s="31"/>
      <c r="K55" s="5" t="s">
        <v>105</v>
      </c>
      <c r="L55" s="5" t="s">
        <v>56</v>
      </c>
      <c r="M55" s="5" t="s">
        <v>57</v>
      </c>
      <c r="N55" s="192">
        <v>400</v>
      </c>
      <c r="O55" s="45">
        <f t="shared" si="49"/>
        <v>677966.10169491521</v>
      </c>
      <c r="P55" s="40">
        <v>400</v>
      </c>
      <c r="Q55" s="30">
        <f t="shared" si="55"/>
        <v>1694.9152542372881</v>
      </c>
      <c r="R55" s="45">
        <v>2000</v>
      </c>
      <c r="S55" s="10">
        <f t="shared" si="3"/>
        <v>800000</v>
      </c>
      <c r="T55" s="45"/>
      <c r="U55" s="13"/>
      <c r="V55" s="131">
        <f t="shared" si="5"/>
        <v>800000</v>
      </c>
      <c r="W55" s="136">
        <f t="shared" si="62"/>
        <v>0</v>
      </c>
      <c r="X55" s="65"/>
      <c r="Y55" s="163">
        <v>0.5</v>
      </c>
      <c r="Z55" s="44">
        <f t="shared" ref="Z55:Z56" si="73">S55*Y55</f>
        <v>400000</v>
      </c>
      <c r="AA55" s="173">
        <v>46113</v>
      </c>
      <c r="AB55" s="37"/>
      <c r="AC55" s="165">
        <v>0.5</v>
      </c>
      <c r="AD55" s="44">
        <f t="shared" ref="AD55" si="74">S55*AC55</f>
        <v>400000</v>
      </c>
      <c r="AE55" s="173">
        <v>46296</v>
      </c>
      <c r="AF55" s="37"/>
      <c r="AG55" s="12"/>
      <c r="AH55" s="13"/>
      <c r="AI55" s="58"/>
      <c r="AJ55" s="58"/>
      <c r="AK55" s="12"/>
      <c r="AL55" s="13"/>
      <c r="AM55" s="58"/>
      <c r="AN55" s="58"/>
      <c r="AP55" s="240">
        <v>0</v>
      </c>
      <c r="AQ55" s="241">
        <f t="shared" si="20"/>
        <v>0</v>
      </c>
      <c r="AR55" s="240">
        <v>0</v>
      </c>
      <c r="AS55" s="60">
        <f t="shared" si="8"/>
        <v>800000</v>
      </c>
      <c r="AT55" s="111"/>
      <c r="AU55" s="111"/>
      <c r="AV55" s="111"/>
      <c r="AW55" s="111"/>
      <c r="AX55" s="111"/>
      <c r="AY55" s="111"/>
      <c r="AZ55" s="111"/>
      <c r="BA55" s="111"/>
      <c r="BB55" s="111"/>
      <c r="BC55" s="111"/>
      <c r="BD55" s="27"/>
      <c r="BE55" s="27"/>
      <c r="BF55" s="27"/>
      <c r="BG55" s="27"/>
      <c r="BH55" s="27"/>
      <c r="BI55" s="27"/>
      <c r="BJ55" s="27"/>
      <c r="BK55" s="27"/>
      <c r="BL55" s="27"/>
      <c r="BN55" s="15"/>
      <c r="BO55" s="15"/>
      <c r="BQ55" s="27"/>
      <c r="BS55" s="15"/>
      <c r="BU55" s="15"/>
      <c r="BV55" s="15"/>
      <c r="BW55" s="15"/>
      <c r="BX55" s="111"/>
      <c r="BY55" s="111"/>
      <c r="CC55" s="15"/>
      <c r="CD55" s="27"/>
      <c r="CF55" s="60">
        <f t="shared" si="15"/>
        <v>0</v>
      </c>
      <c r="CG55" s="61" t="e">
        <f t="shared" si="16"/>
        <v>#DIV/0!</v>
      </c>
    </row>
    <row r="56" spans="1:85">
      <c r="A56" s="197">
        <f t="shared" si="12"/>
        <v>47</v>
      </c>
      <c r="B56" s="38" t="s">
        <v>155</v>
      </c>
      <c r="C56" s="157" t="s">
        <v>298</v>
      </c>
      <c r="D56" s="31">
        <v>1</v>
      </c>
      <c r="E56" s="31" t="s">
        <v>269</v>
      </c>
      <c r="F56" s="31" t="s">
        <v>263</v>
      </c>
      <c r="G56" s="31" t="s">
        <v>54</v>
      </c>
      <c r="H56" s="254" t="s">
        <v>407</v>
      </c>
      <c r="I56" s="31" t="s">
        <v>183</v>
      </c>
      <c r="J56" s="31" t="s">
        <v>336</v>
      </c>
      <c r="K56" s="5" t="s">
        <v>281</v>
      </c>
      <c r="L56" s="5" t="s">
        <v>56</v>
      </c>
      <c r="M56" s="5" t="s">
        <v>57</v>
      </c>
      <c r="N56" s="142">
        <v>900</v>
      </c>
      <c r="O56" s="45">
        <f t="shared" si="49"/>
        <v>1800000</v>
      </c>
      <c r="P56" s="40">
        <v>841</v>
      </c>
      <c r="Q56" s="30">
        <f t="shared" si="55"/>
        <v>2000</v>
      </c>
      <c r="R56" s="45">
        <v>2360</v>
      </c>
      <c r="S56" s="10">
        <f t="shared" si="3"/>
        <v>1984760</v>
      </c>
      <c r="T56" s="45"/>
      <c r="U56" s="13"/>
      <c r="V56" s="131">
        <f t="shared" si="5"/>
        <v>1984760</v>
      </c>
      <c r="W56" s="136">
        <f t="shared" si="62"/>
        <v>0</v>
      </c>
      <c r="X56" s="65"/>
      <c r="Y56" s="12">
        <v>0.25</v>
      </c>
      <c r="Z56" s="44">
        <f t="shared" si="73"/>
        <v>496190</v>
      </c>
      <c r="AA56" s="37" t="s">
        <v>329</v>
      </c>
      <c r="AB56" s="37"/>
      <c r="AC56" s="132">
        <v>0.25</v>
      </c>
      <c r="AD56" s="44">
        <f t="shared" ref="AD56" si="75">S56*AC56</f>
        <v>496190</v>
      </c>
      <c r="AE56" s="217" t="s">
        <v>330</v>
      </c>
      <c r="AF56" s="37"/>
      <c r="AG56" s="12">
        <v>0.25</v>
      </c>
      <c r="AH56" s="180">
        <f>S56*AG56</f>
        <v>496190</v>
      </c>
      <c r="AI56" s="217" t="s">
        <v>331</v>
      </c>
      <c r="AJ56" s="58"/>
      <c r="AK56" s="12">
        <v>0.25</v>
      </c>
      <c r="AL56" s="127">
        <f>AH56</f>
        <v>496190</v>
      </c>
      <c r="AM56" s="217" t="s">
        <v>332</v>
      </c>
      <c r="AN56" s="58"/>
      <c r="AP56" s="240">
        <v>0</v>
      </c>
      <c r="AQ56" s="241">
        <f t="shared" si="20"/>
        <v>0</v>
      </c>
      <c r="AR56" s="240">
        <v>0</v>
      </c>
      <c r="AS56" s="60">
        <f t="shared" si="8"/>
        <v>1984760</v>
      </c>
      <c r="AT56" s="111"/>
      <c r="AU56" s="111"/>
      <c r="AV56" s="111"/>
      <c r="AW56" s="111"/>
      <c r="AX56" s="111"/>
      <c r="AY56" s="111"/>
      <c r="AZ56" s="111"/>
      <c r="BA56" s="111"/>
      <c r="BB56" s="111"/>
      <c r="BC56" s="111"/>
      <c r="BD56" s="27"/>
      <c r="BE56" s="27"/>
      <c r="BF56" s="27"/>
      <c r="BG56" s="27"/>
      <c r="BH56" s="27"/>
      <c r="BI56" s="27"/>
      <c r="BJ56" s="27"/>
      <c r="BK56" s="27"/>
      <c r="BL56" s="27"/>
      <c r="BN56" s="15"/>
      <c r="BO56" s="15"/>
      <c r="BQ56" s="27"/>
      <c r="BS56" s="15"/>
      <c r="BU56" s="15"/>
      <c r="BV56" s="15"/>
      <c r="BW56" s="15"/>
      <c r="BX56" s="111"/>
      <c r="BY56" s="111"/>
      <c r="CC56" s="15"/>
      <c r="CD56" s="27"/>
      <c r="CF56" s="60"/>
      <c r="CG56" s="61"/>
    </row>
    <row r="57" spans="1:85">
      <c r="A57" s="197">
        <f t="shared" si="12"/>
        <v>48</v>
      </c>
      <c r="B57" s="5" t="s">
        <v>89</v>
      </c>
      <c r="C57" s="157" t="s">
        <v>298</v>
      </c>
      <c r="D57" s="31">
        <v>1</v>
      </c>
      <c r="E57" s="31" t="s">
        <v>274</v>
      </c>
      <c r="F57" s="31" t="s">
        <v>54</v>
      </c>
      <c r="G57" s="31" t="s">
        <v>54</v>
      </c>
      <c r="H57" s="254" t="s">
        <v>419</v>
      </c>
      <c r="I57" s="31"/>
      <c r="J57" s="31"/>
      <c r="K57" s="5" t="s">
        <v>105</v>
      </c>
      <c r="L57" s="5" t="s">
        <v>90</v>
      </c>
      <c r="M57" s="5" t="s">
        <v>57</v>
      </c>
      <c r="N57" s="196">
        <v>183</v>
      </c>
      <c r="O57" s="45">
        <f t="shared" si="49"/>
        <v>186101.69491525422</v>
      </c>
      <c r="P57" s="11"/>
      <c r="Q57" s="30">
        <f t="shared" si="55"/>
        <v>1016.9491525423729</v>
      </c>
      <c r="R57" s="45">
        <v>1200</v>
      </c>
      <c r="S57" s="10">
        <f t="shared" si="3"/>
        <v>0</v>
      </c>
      <c r="T57" s="45"/>
      <c r="U57" s="13"/>
      <c r="V57" s="131">
        <f t="shared" si="5"/>
        <v>0</v>
      </c>
      <c r="W57" s="136" t="e">
        <f t="shared" si="62"/>
        <v>#DIV/0!</v>
      </c>
      <c r="X57" s="65"/>
      <c r="Y57" s="12">
        <v>0.5</v>
      </c>
      <c r="Z57" s="44">
        <f t="shared" ref="Z57:Z58" si="76">S57*Y57</f>
        <v>0</v>
      </c>
      <c r="AA57" s="173">
        <v>46113</v>
      </c>
      <c r="AB57" s="37"/>
      <c r="AC57" s="132">
        <v>0.25</v>
      </c>
      <c r="AD57" s="44">
        <f t="shared" ref="AD57" si="77">S57*AC57</f>
        <v>0</v>
      </c>
      <c r="AE57" s="173">
        <v>46296</v>
      </c>
      <c r="AF57" s="37"/>
      <c r="AG57" s="13"/>
      <c r="AH57" s="13"/>
      <c r="AI57" s="13"/>
      <c r="AJ57" s="13"/>
      <c r="AK57" s="13"/>
      <c r="AL57" s="13"/>
      <c r="AM57" s="13"/>
      <c r="AN57" s="13"/>
      <c r="AP57" s="240">
        <v>0</v>
      </c>
      <c r="AQ57" s="241">
        <f t="shared" si="20"/>
        <v>0</v>
      </c>
      <c r="AR57" s="240">
        <v>0</v>
      </c>
      <c r="AS57" s="60">
        <f t="shared" si="8"/>
        <v>0</v>
      </c>
      <c r="AT57" s="111"/>
      <c r="AU57" s="111"/>
      <c r="AV57" s="111"/>
      <c r="AW57" s="111"/>
      <c r="AX57" s="111"/>
      <c r="AY57" s="111"/>
      <c r="AZ57" s="111"/>
      <c r="BA57" s="111"/>
      <c r="BB57" s="111"/>
      <c r="BC57" s="111"/>
      <c r="BD57" s="27"/>
      <c r="BE57" s="27"/>
      <c r="BF57" s="27"/>
      <c r="BG57" s="27"/>
      <c r="BH57" s="27"/>
      <c r="BI57" s="27"/>
      <c r="BJ57" s="27"/>
      <c r="BK57" s="27"/>
      <c r="BL57" s="27"/>
      <c r="BN57" s="15"/>
      <c r="BO57" s="15"/>
      <c r="BQ57" s="27"/>
      <c r="BS57" s="15"/>
      <c r="BU57" s="15"/>
      <c r="BV57" s="15"/>
      <c r="BW57" s="15"/>
      <c r="BX57" s="111"/>
      <c r="BY57" s="111"/>
      <c r="CC57" s="15"/>
      <c r="CD57" s="27"/>
      <c r="CF57" s="60">
        <f t="shared" si="15"/>
        <v>0</v>
      </c>
      <c r="CG57" s="61" t="e">
        <f t="shared" si="16"/>
        <v>#DIV/0!</v>
      </c>
    </row>
    <row r="58" spans="1:85">
      <c r="A58" s="197">
        <f t="shared" si="12"/>
        <v>49</v>
      </c>
      <c r="B58" s="5" t="s">
        <v>91</v>
      </c>
      <c r="C58" s="157" t="s">
        <v>298</v>
      </c>
      <c r="D58" s="31">
        <v>1</v>
      </c>
      <c r="E58" s="31" t="s">
        <v>269</v>
      </c>
      <c r="F58" s="31"/>
      <c r="G58" s="31" t="s">
        <v>53</v>
      </c>
      <c r="H58" s="255" t="s">
        <v>384</v>
      </c>
      <c r="I58" s="31"/>
      <c r="J58" s="31"/>
      <c r="K58" s="5" t="s">
        <v>105</v>
      </c>
      <c r="L58" s="5" t="s">
        <v>56</v>
      </c>
      <c r="M58" s="5" t="s">
        <v>57</v>
      </c>
      <c r="N58" s="196">
        <v>41</v>
      </c>
      <c r="O58" s="45">
        <f t="shared" si="49"/>
        <v>104237.17</v>
      </c>
      <c r="P58" s="38"/>
      <c r="Q58" s="30">
        <f t="shared" si="55"/>
        <v>2542.37</v>
      </c>
      <c r="R58" s="45">
        <v>2999.9965999999995</v>
      </c>
      <c r="S58" s="10">
        <f t="shared" si="3"/>
        <v>0</v>
      </c>
      <c r="T58" s="45"/>
      <c r="U58" s="121"/>
      <c r="V58" s="131">
        <f t="shared" si="5"/>
        <v>0</v>
      </c>
      <c r="W58" s="136" t="e">
        <f t="shared" si="62"/>
        <v>#DIV/0!</v>
      </c>
      <c r="X58" s="134"/>
      <c r="Y58" s="12">
        <v>1</v>
      </c>
      <c r="Z58" s="13">
        <f t="shared" si="76"/>
        <v>0</v>
      </c>
      <c r="AA58" s="173">
        <v>46113</v>
      </c>
      <c r="AB58" s="37"/>
      <c r="AC58" s="132"/>
      <c r="AD58" s="13"/>
      <c r="AE58" s="37"/>
      <c r="AF58" s="37"/>
      <c r="AG58" s="12"/>
      <c r="AH58" s="13"/>
      <c r="AI58" s="58"/>
      <c r="AJ58" s="58"/>
      <c r="AK58" s="13"/>
      <c r="AL58" s="13"/>
      <c r="AM58" s="13"/>
      <c r="AN58" s="13"/>
      <c r="AP58" s="240">
        <v>0</v>
      </c>
      <c r="AQ58" s="241">
        <f t="shared" si="20"/>
        <v>0</v>
      </c>
      <c r="AR58" s="240">
        <v>0</v>
      </c>
      <c r="AS58" s="60">
        <f t="shared" si="8"/>
        <v>0</v>
      </c>
      <c r="AT58" s="111"/>
      <c r="AU58" s="111"/>
      <c r="AV58" s="111"/>
      <c r="AW58" s="111"/>
      <c r="AX58" s="111"/>
      <c r="AY58" s="111"/>
      <c r="AZ58" s="111"/>
      <c r="BA58" s="111"/>
      <c r="BB58" s="111"/>
      <c r="BC58" s="111"/>
      <c r="BD58" s="27"/>
      <c r="BE58" s="27"/>
      <c r="BF58" s="27"/>
      <c r="BG58" s="27"/>
      <c r="BH58" s="27"/>
      <c r="BI58" s="27"/>
      <c r="BJ58" s="27"/>
      <c r="BK58" s="27"/>
      <c r="BL58" s="27"/>
      <c r="BN58" s="15"/>
      <c r="BO58" s="15"/>
      <c r="BQ58" s="27"/>
      <c r="BS58" s="15"/>
      <c r="BU58" s="15"/>
      <c r="BV58" s="15"/>
      <c r="BW58" s="15"/>
      <c r="BX58" s="111"/>
      <c r="BY58" s="111"/>
      <c r="CC58" s="15"/>
      <c r="CD58" s="27"/>
      <c r="CF58" s="60">
        <f t="shared" si="15"/>
        <v>0</v>
      </c>
      <c r="CG58" s="61" t="e">
        <f t="shared" si="16"/>
        <v>#DIV/0!</v>
      </c>
    </row>
    <row r="59" spans="1:85">
      <c r="A59" s="197">
        <f t="shared" si="12"/>
        <v>50</v>
      </c>
      <c r="B59" s="5" t="s">
        <v>92</v>
      </c>
      <c r="C59" s="157" t="s">
        <v>298</v>
      </c>
      <c r="D59" s="31">
        <v>1</v>
      </c>
      <c r="E59" s="31" t="s">
        <v>269</v>
      </c>
      <c r="F59" s="31"/>
      <c r="G59" s="31" t="s">
        <v>53</v>
      </c>
      <c r="H59" s="293" t="s">
        <v>420</v>
      </c>
      <c r="I59" s="31"/>
      <c r="J59" s="31"/>
      <c r="K59" s="5" t="s">
        <v>105</v>
      </c>
      <c r="L59" s="5" t="s">
        <v>56</v>
      </c>
      <c r="M59" s="5" t="s">
        <v>57</v>
      </c>
      <c r="N59" s="196">
        <v>11</v>
      </c>
      <c r="O59" s="45">
        <f t="shared" si="49"/>
        <v>23305.084745762713</v>
      </c>
      <c r="P59" s="38"/>
      <c r="Q59" s="30">
        <f t="shared" si="55"/>
        <v>2118.6440677966102</v>
      </c>
      <c r="R59" s="45">
        <v>2500</v>
      </c>
      <c r="S59" s="10">
        <f t="shared" si="3"/>
        <v>0</v>
      </c>
      <c r="T59" s="45"/>
      <c r="U59" s="13"/>
      <c r="V59" s="131">
        <f t="shared" si="5"/>
        <v>0</v>
      </c>
      <c r="W59" s="136" t="e">
        <f t="shared" si="62"/>
        <v>#DIV/0!</v>
      </c>
      <c r="X59" s="65"/>
      <c r="Y59" s="12">
        <v>1</v>
      </c>
      <c r="Z59" s="13">
        <f t="shared" ref="Z59" si="78">S59*Y59</f>
        <v>0</v>
      </c>
      <c r="AA59" s="173">
        <v>46113</v>
      </c>
      <c r="AB59" s="35"/>
      <c r="AC59" s="132"/>
      <c r="AD59" s="10"/>
      <c r="AE59" s="37"/>
      <c r="AF59" s="37"/>
      <c r="AG59" s="10"/>
      <c r="AH59" s="10"/>
      <c r="AI59" s="10"/>
      <c r="AJ59" s="10"/>
      <c r="AK59" s="10"/>
      <c r="AL59" s="10"/>
      <c r="AM59" s="10"/>
      <c r="AN59" s="10"/>
      <c r="AP59" s="240">
        <v>0</v>
      </c>
      <c r="AQ59" s="241">
        <f t="shared" si="20"/>
        <v>0</v>
      </c>
      <c r="AR59" s="240">
        <v>0</v>
      </c>
      <c r="AS59" s="60">
        <f t="shared" si="8"/>
        <v>0</v>
      </c>
      <c r="AT59" s="111"/>
      <c r="AU59" s="111"/>
      <c r="AV59" s="111"/>
      <c r="AW59" s="111"/>
      <c r="AX59" s="111"/>
      <c r="AY59" s="111"/>
      <c r="AZ59" s="111"/>
      <c r="BA59" s="111"/>
      <c r="BB59" s="111"/>
      <c r="BC59" s="111"/>
      <c r="BD59" s="27"/>
      <c r="BE59" s="27"/>
      <c r="BF59" s="27"/>
      <c r="BG59" s="27"/>
      <c r="BH59" s="27"/>
      <c r="BI59" s="27"/>
      <c r="BJ59" s="27"/>
      <c r="BK59" s="27"/>
      <c r="BL59" s="27"/>
      <c r="BN59" s="15"/>
      <c r="BO59" s="15"/>
      <c r="BQ59" s="27"/>
      <c r="BS59" s="15"/>
      <c r="BU59" s="15"/>
      <c r="BV59" s="15"/>
      <c r="BW59" s="15"/>
      <c r="BX59" s="111"/>
      <c r="BY59" s="111"/>
      <c r="CC59" s="15"/>
      <c r="CD59" s="27"/>
      <c r="CF59" s="60">
        <f t="shared" si="15"/>
        <v>0</v>
      </c>
      <c r="CG59" s="61" t="e">
        <f t="shared" si="16"/>
        <v>#DIV/0!</v>
      </c>
    </row>
    <row r="60" spans="1:85">
      <c r="A60" s="197">
        <f t="shared" si="12"/>
        <v>51</v>
      </c>
      <c r="B60" s="5" t="s">
        <v>93</v>
      </c>
      <c r="C60" s="157" t="s">
        <v>298</v>
      </c>
      <c r="D60" s="31">
        <v>1</v>
      </c>
      <c r="E60" s="31" t="s">
        <v>269</v>
      </c>
      <c r="F60" s="31"/>
      <c r="G60" s="31" t="s">
        <v>53</v>
      </c>
      <c r="H60" s="293"/>
      <c r="I60" s="31"/>
      <c r="J60" s="31"/>
      <c r="K60" s="5" t="s">
        <v>105</v>
      </c>
      <c r="L60" s="5" t="s">
        <v>56</v>
      </c>
      <c r="M60" s="5" t="s">
        <v>57</v>
      </c>
      <c r="N60" s="196">
        <v>67</v>
      </c>
      <c r="O60" s="45">
        <f t="shared" si="49"/>
        <v>134000</v>
      </c>
      <c r="P60" s="38"/>
      <c r="Q60" s="30">
        <f t="shared" si="55"/>
        <v>2000</v>
      </c>
      <c r="R60" s="45">
        <v>2360</v>
      </c>
      <c r="S60" s="10">
        <f t="shared" si="3"/>
        <v>0</v>
      </c>
      <c r="T60" s="45"/>
      <c r="U60" s="13"/>
      <c r="V60" s="131">
        <f t="shared" si="5"/>
        <v>0</v>
      </c>
      <c r="W60" s="136" t="e">
        <f t="shared" si="62"/>
        <v>#DIV/0!</v>
      </c>
      <c r="X60" s="65"/>
      <c r="Y60" s="12">
        <v>1</v>
      </c>
      <c r="Z60" s="13">
        <f t="shared" ref="Z60:Z65" si="79">S60*Y60</f>
        <v>0</v>
      </c>
      <c r="AA60" s="173">
        <v>46113</v>
      </c>
      <c r="AB60" s="37"/>
      <c r="AC60" s="132"/>
      <c r="AD60" s="10"/>
      <c r="AE60" s="37"/>
      <c r="AF60" s="37"/>
      <c r="AG60" s="12"/>
      <c r="AH60" s="10"/>
      <c r="AI60" s="58"/>
      <c r="AJ60" s="58"/>
      <c r="AK60" s="12"/>
      <c r="AL60" s="10"/>
      <c r="AM60" s="58"/>
      <c r="AN60" s="58"/>
      <c r="AP60" s="240">
        <v>0</v>
      </c>
      <c r="AQ60" s="241">
        <f t="shared" si="20"/>
        <v>0</v>
      </c>
      <c r="AR60" s="240">
        <v>0</v>
      </c>
      <c r="AS60" s="60">
        <f t="shared" si="8"/>
        <v>0</v>
      </c>
      <c r="AT60" s="111"/>
      <c r="AU60" s="111"/>
      <c r="AV60" s="111"/>
      <c r="AW60" s="111"/>
      <c r="AX60" s="111"/>
      <c r="AY60" s="111"/>
      <c r="AZ60" s="111"/>
      <c r="BA60" s="111"/>
      <c r="BB60" s="111"/>
      <c r="BC60" s="111"/>
      <c r="BD60" s="27"/>
      <c r="BE60" s="27"/>
      <c r="BF60" s="27"/>
      <c r="BG60" s="27"/>
      <c r="BH60" s="27"/>
      <c r="BI60" s="27"/>
      <c r="BJ60" s="27"/>
      <c r="BK60" s="27"/>
      <c r="BL60" s="27"/>
      <c r="BN60" s="15"/>
      <c r="BO60" s="15"/>
      <c r="BQ60" s="27"/>
      <c r="BS60" s="15"/>
      <c r="BU60" s="15"/>
      <c r="BV60" s="15"/>
      <c r="BW60" s="15"/>
      <c r="BX60" s="111"/>
      <c r="BY60" s="111"/>
      <c r="CC60" s="15"/>
      <c r="CD60" s="27"/>
      <c r="CF60" s="60">
        <f t="shared" si="15"/>
        <v>0</v>
      </c>
      <c r="CG60" s="61" t="e">
        <f t="shared" si="16"/>
        <v>#DIV/0!</v>
      </c>
    </row>
    <row r="61" spans="1:85">
      <c r="A61" s="197">
        <f t="shared" si="12"/>
        <v>52</v>
      </c>
      <c r="B61" s="40" t="s">
        <v>102</v>
      </c>
      <c r="C61" s="157" t="s">
        <v>298</v>
      </c>
      <c r="D61" s="31">
        <v>1</v>
      </c>
      <c r="E61" s="31" t="s">
        <v>275</v>
      </c>
      <c r="F61" s="31" t="s">
        <v>54</v>
      </c>
      <c r="G61" s="31" t="s">
        <v>54</v>
      </c>
      <c r="H61" s="254" t="s">
        <v>421</v>
      </c>
      <c r="I61" s="31"/>
      <c r="J61" s="31"/>
      <c r="K61" s="5" t="s">
        <v>105</v>
      </c>
      <c r="L61" s="5" t="s">
        <v>103</v>
      </c>
      <c r="M61" s="5" t="s">
        <v>104</v>
      </c>
      <c r="N61" s="196">
        <v>31</v>
      </c>
      <c r="O61" s="145">
        <f t="shared" si="49"/>
        <v>31525.423728813559</v>
      </c>
      <c r="P61" s="38"/>
      <c r="Q61" s="30">
        <f t="shared" si="55"/>
        <v>1016.9491525423729</v>
      </c>
      <c r="R61" s="145">
        <v>1200</v>
      </c>
      <c r="S61" s="10">
        <f t="shared" si="3"/>
        <v>0</v>
      </c>
      <c r="T61" s="45"/>
      <c r="U61" s="13"/>
      <c r="V61" s="131">
        <f t="shared" si="5"/>
        <v>0</v>
      </c>
      <c r="W61" s="136" t="e">
        <f t="shared" si="62"/>
        <v>#DIV/0!</v>
      </c>
      <c r="X61" s="65"/>
      <c r="Y61" s="12">
        <v>0.5</v>
      </c>
      <c r="Z61" s="10">
        <f t="shared" si="79"/>
        <v>0</v>
      </c>
      <c r="AA61" s="173">
        <v>46204</v>
      </c>
      <c r="AB61" s="35"/>
      <c r="AC61" s="132">
        <v>0.5</v>
      </c>
      <c r="AD61" s="44">
        <f t="shared" ref="AD61" si="80">S61*AC61</f>
        <v>0</v>
      </c>
      <c r="AE61" s="173">
        <v>46235</v>
      </c>
      <c r="AF61" s="37"/>
      <c r="AG61" s="132"/>
      <c r="AH61" s="10"/>
      <c r="AI61" s="37"/>
      <c r="AJ61" s="37"/>
      <c r="AK61" s="10"/>
      <c r="AL61" s="10"/>
      <c r="AM61" s="10"/>
      <c r="AN61" s="10"/>
      <c r="AP61" s="240">
        <v>0</v>
      </c>
      <c r="AQ61" s="241">
        <f t="shared" si="20"/>
        <v>0</v>
      </c>
      <c r="AR61" s="240">
        <v>0</v>
      </c>
      <c r="AS61" s="60">
        <f t="shared" si="8"/>
        <v>0</v>
      </c>
      <c r="AT61" s="111"/>
      <c r="AU61" s="111"/>
      <c r="AV61" s="111"/>
      <c r="AW61" s="111"/>
      <c r="AX61" s="111"/>
      <c r="AY61" s="111"/>
      <c r="AZ61" s="111"/>
      <c r="BA61" s="111"/>
      <c r="BB61" s="111"/>
      <c r="BC61" s="111"/>
      <c r="BD61" s="27"/>
      <c r="BE61" s="27"/>
      <c r="BF61" s="27"/>
      <c r="BG61" s="27"/>
      <c r="BH61" s="27"/>
      <c r="BI61" s="27"/>
      <c r="BJ61" s="27"/>
      <c r="BK61" s="27"/>
      <c r="BL61" s="27"/>
      <c r="BN61" s="15"/>
      <c r="BO61" s="15"/>
      <c r="BQ61" s="27"/>
      <c r="BS61" s="15"/>
      <c r="BU61" s="15"/>
      <c r="BV61" s="15"/>
      <c r="BW61" s="15"/>
      <c r="BX61" s="111"/>
      <c r="BY61" s="111"/>
      <c r="CC61" s="15"/>
      <c r="CD61" s="27"/>
      <c r="CF61" s="60">
        <f t="shared" si="15"/>
        <v>0</v>
      </c>
      <c r="CG61" s="61" t="e">
        <f t="shared" si="16"/>
        <v>#DIV/0!</v>
      </c>
    </row>
    <row r="62" spans="1:85">
      <c r="A62" s="197">
        <f t="shared" si="12"/>
        <v>53</v>
      </c>
      <c r="B62" s="5" t="s">
        <v>138</v>
      </c>
      <c r="C62" s="157" t="s">
        <v>298</v>
      </c>
      <c r="D62" s="31">
        <v>1</v>
      </c>
      <c r="E62" s="31" t="s">
        <v>269</v>
      </c>
      <c r="F62" s="31" t="s">
        <v>54</v>
      </c>
      <c r="G62" s="31" t="s">
        <v>54</v>
      </c>
      <c r="H62" s="254" t="s">
        <v>422</v>
      </c>
      <c r="I62" s="31"/>
      <c r="J62" s="31"/>
      <c r="K62" s="5" t="s">
        <v>105</v>
      </c>
      <c r="L62" s="5" t="s">
        <v>135</v>
      </c>
      <c r="M62" s="5" t="s">
        <v>57</v>
      </c>
      <c r="N62" s="196">
        <v>100</v>
      </c>
      <c r="O62" s="145">
        <f t="shared" si="49"/>
        <v>228813.55932203392</v>
      </c>
      <c r="P62" s="38"/>
      <c r="Q62" s="30">
        <f t="shared" si="55"/>
        <v>2288.1355932203392</v>
      </c>
      <c r="R62" s="38">
        <v>2700</v>
      </c>
      <c r="S62" s="10">
        <f t="shared" si="3"/>
        <v>0</v>
      </c>
      <c r="T62" s="45"/>
      <c r="U62" s="13"/>
      <c r="V62" s="131">
        <f t="shared" si="5"/>
        <v>0</v>
      </c>
      <c r="W62" s="136" t="e">
        <f t="shared" si="62"/>
        <v>#DIV/0!</v>
      </c>
      <c r="X62" s="65"/>
      <c r="Y62" s="12">
        <v>1</v>
      </c>
      <c r="Z62" s="13">
        <f t="shared" si="79"/>
        <v>0</v>
      </c>
      <c r="AA62" s="218"/>
      <c r="AB62" s="35"/>
      <c r="AC62" s="132"/>
      <c r="AD62" s="10"/>
      <c r="AE62" s="37"/>
      <c r="AF62" s="37"/>
      <c r="AG62" s="10"/>
      <c r="AH62" s="10"/>
      <c r="AI62" s="10"/>
      <c r="AJ62" s="10"/>
      <c r="AK62" s="10"/>
      <c r="AL62" s="10"/>
      <c r="AM62" s="10"/>
      <c r="AN62" s="10"/>
      <c r="AP62" s="240">
        <v>0</v>
      </c>
      <c r="AQ62" s="241">
        <f t="shared" si="20"/>
        <v>0</v>
      </c>
      <c r="AR62" s="240">
        <v>0</v>
      </c>
      <c r="AS62" s="60">
        <f t="shared" si="8"/>
        <v>0</v>
      </c>
      <c r="AT62" s="111"/>
      <c r="AU62" s="111"/>
      <c r="AV62" s="111"/>
      <c r="AW62" s="111"/>
      <c r="AX62" s="111"/>
      <c r="AY62" s="111"/>
      <c r="AZ62" s="111"/>
      <c r="BA62" s="111"/>
      <c r="BB62" s="111"/>
      <c r="BC62" s="111"/>
      <c r="BD62" s="27"/>
      <c r="BE62" s="27"/>
      <c r="BF62" s="27"/>
      <c r="BG62" s="27"/>
      <c r="BH62" s="27"/>
      <c r="BI62" s="27"/>
      <c r="BJ62" s="27"/>
      <c r="BK62" s="27"/>
      <c r="BL62" s="27"/>
      <c r="BN62" s="15"/>
      <c r="BO62" s="15"/>
      <c r="BQ62" s="27"/>
      <c r="BS62" s="15"/>
      <c r="BU62" s="15"/>
      <c r="BV62" s="15"/>
      <c r="BW62" s="15"/>
      <c r="BX62" s="111"/>
      <c r="BY62" s="111"/>
      <c r="CC62" s="15"/>
      <c r="CD62" s="27"/>
      <c r="CF62" s="60">
        <f t="shared" si="15"/>
        <v>0</v>
      </c>
      <c r="CG62" s="61" t="e">
        <f t="shared" si="16"/>
        <v>#DIV/0!</v>
      </c>
    </row>
    <row r="63" spans="1:85">
      <c r="A63" s="197">
        <f t="shared" si="12"/>
        <v>54</v>
      </c>
      <c r="B63" s="40" t="s">
        <v>206</v>
      </c>
      <c r="C63" s="157" t="s">
        <v>298</v>
      </c>
      <c r="D63" s="31">
        <v>1</v>
      </c>
      <c r="E63" s="31" t="s">
        <v>276</v>
      </c>
      <c r="F63" s="31" t="s">
        <v>54</v>
      </c>
      <c r="G63" s="31" t="s">
        <v>54</v>
      </c>
      <c r="H63" s="255" t="s">
        <v>384</v>
      </c>
      <c r="I63" s="31"/>
      <c r="J63" s="31"/>
      <c r="K63" s="5" t="s">
        <v>208</v>
      </c>
      <c r="L63" s="5" t="s">
        <v>56</v>
      </c>
      <c r="M63" s="5" t="s">
        <v>57</v>
      </c>
      <c r="N63" s="192">
        <v>100</v>
      </c>
      <c r="O63" s="145">
        <f t="shared" si="49"/>
        <v>169491.5254237288</v>
      </c>
      <c r="P63" s="5">
        <v>100</v>
      </c>
      <c r="Q63" s="30">
        <f t="shared" si="55"/>
        <v>1694.9152542372881</v>
      </c>
      <c r="R63" s="38">
        <v>2000</v>
      </c>
      <c r="S63" s="10">
        <f t="shared" si="3"/>
        <v>200000</v>
      </c>
      <c r="T63" s="45"/>
      <c r="U63" s="13"/>
      <c r="V63" s="131">
        <f t="shared" si="5"/>
        <v>200000</v>
      </c>
      <c r="W63" s="136">
        <f t="shared" si="62"/>
        <v>0</v>
      </c>
      <c r="X63" s="65"/>
      <c r="Y63" s="12">
        <v>0.5</v>
      </c>
      <c r="Z63" s="10">
        <f t="shared" si="79"/>
        <v>100000</v>
      </c>
      <c r="AA63" s="173">
        <v>46235</v>
      </c>
      <c r="AB63" s="35"/>
      <c r="AC63" s="132">
        <v>0.5</v>
      </c>
      <c r="AD63" s="44">
        <f t="shared" ref="AD63:AD65" si="81">S63*AC63</f>
        <v>100000</v>
      </c>
      <c r="AE63" s="173">
        <v>46235</v>
      </c>
      <c r="AF63" s="37"/>
      <c r="AG63" s="12"/>
      <c r="AH63" s="10"/>
      <c r="AI63" s="23"/>
      <c r="AJ63" s="23"/>
      <c r="AK63" s="12"/>
      <c r="AL63" s="10"/>
      <c r="AM63" s="23"/>
      <c r="AN63" s="58"/>
      <c r="AP63" s="240">
        <v>0</v>
      </c>
      <c r="AQ63" s="241">
        <f t="shared" si="20"/>
        <v>0</v>
      </c>
      <c r="AR63" s="240">
        <v>0</v>
      </c>
      <c r="AS63" s="60">
        <f t="shared" si="8"/>
        <v>200000</v>
      </c>
      <c r="AT63" s="111"/>
      <c r="AU63" s="111"/>
      <c r="AV63" s="111"/>
      <c r="AW63" s="111"/>
      <c r="AX63" s="111"/>
      <c r="AY63" s="111"/>
      <c r="AZ63" s="111"/>
      <c r="BA63" s="111"/>
      <c r="BB63" s="111"/>
      <c r="BC63" s="111"/>
      <c r="BD63" s="27"/>
      <c r="BE63" s="27"/>
      <c r="BF63" s="27"/>
      <c r="BG63" s="27"/>
      <c r="BH63" s="27"/>
      <c r="BI63" s="27"/>
      <c r="BJ63" s="27"/>
      <c r="BK63" s="27"/>
      <c r="BL63" s="27"/>
      <c r="BN63" s="15"/>
      <c r="BO63" s="15"/>
      <c r="BQ63" s="27"/>
      <c r="BS63" s="15"/>
      <c r="BU63" s="15"/>
      <c r="BV63" s="15"/>
      <c r="BW63" s="15"/>
      <c r="BX63" s="111"/>
      <c r="BY63" s="111"/>
      <c r="CC63" s="15"/>
      <c r="CD63" s="27"/>
      <c r="CF63" s="60">
        <f t="shared" si="15"/>
        <v>0</v>
      </c>
      <c r="CG63" s="61" t="e">
        <f t="shared" si="16"/>
        <v>#DIV/0!</v>
      </c>
    </row>
    <row r="64" spans="1:85">
      <c r="A64" s="197">
        <f t="shared" si="12"/>
        <v>55</v>
      </c>
      <c r="B64" s="177" t="s">
        <v>304</v>
      </c>
      <c r="C64" s="157" t="s">
        <v>298</v>
      </c>
      <c r="D64" s="31">
        <v>1</v>
      </c>
      <c r="E64" s="31" t="s">
        <v>269</v>
      </c>
      <c r="F64" s="31" t="s">
        <v>263</v>
      </c>
      <c r="G64" s="31" t="s">
        <v>263</v>
      </c>
      <c r="H64" s="254" t="s">
        <v>400</v>
      </c>
      <c r="I64" s="31" t="s">
        <v>183</v>
      </c>
      <c r="J64" s="206" t="s">
        <v>336</v>
      </c>
      <c r="K64" s="5" t="s">
        <v>105</v>
      </c>
      <c r="L64" s="5" t="s">
        <v>56</v>
      </c>
      <c r="M64" s="5" t="s">
        <v>57</v>
      </c>
      <c r="N64" s="192">
        <v>550</v>
      </c>
      <c r="O64" s="145">
        <f t="shared" si="49"/>
        <v>990000</v>
      </c>
      <c r="P64" s="5">
        <v>600</v>
      </c>
      <c r="Q64" s="30">
        <f t="shared" si="55"/>
        <v>1800</v>
      </c>
      <c r="R64" s="45">
        <v>2124</v>
      </c>
      <c r="S64" s="10">
        <f t="shared" si="3"/>
        <v>1274400</v>
      </c>
      <c r="T64" s="45"/>
      <c r="U64" s="13"/>
      <c r="V64" s="131">
        <f t="shared" si="5"/>
        <v>1274400</v>
      </c>
      <c r="W64" s="136">
        <f t="shared" si="62"/>
        <v>0</v>
      </c>
      <c r="X64" s="65"/>
      <c r="Y64" s="12">
        <v>0.5</v>
      </c>
      <c r="Z64" s="44">
        <f t="shared" si="79"/>
        <v>637200</v>
      </c>
      <c r="AA64" s="173">
        <v>46113</v>
      </c>
      <c r="AB64" s="37"/>
      <c r="AC64" s="132">
        <v>0.25</v>
      </c>
      <c r="AD64" s="44">
        <f t="shared" si="81"/>
        <v>318600</v>
      </c>
      <c r="AE64" s="173">
        <v>46296</v>
      </c>
      <c r="AF64" s="37"/>
      <c r="AG64" s="12"/>
      <c r="AH64" s="10"/>
      <c r="AI64" s="23"/>
      <c r="AJ64" s="23"/>
      <c r="AK64" s="12"/>
      <c r="AL64" s="10"/>
      <c r="AM64" s="23"/>
      <c r="AN64" s="58"/>
      <c r="AP64" s="240">
        <v>0</v>
      </c>
      <c r="AQ64" s="241">
        <f t="shared" si="20"/>
        <v>0</v>
      </c>
      <c r="AR64" s="240">
        <v>0</v>
      </c>
      <c r="AS64" s="60">
        <f t="shared" si="8"/>
        <v>1274400</v>
      </c>
      <c r="AT64" s="111"/>
      <c r="AU64" s="111"/>
      <c r="AV64" s="111"/>
      <c r="AW64" s="111"/>
      <c r="AX64" s="111"/>
      <c r="AY64" s="111"/>
      <c r="AZ64" s="111"/>
      <c r="BA64" s="111"/>
      <c r="BB64" s="111"/>
      <c r="BC64" s="111"/>
      <c r="BD64" s="27"/>
      <c r="BE64" s="27"/>
      <c r="BF64" s="27"/>
      <c r="BG64" s="27"/>
      <c r="BH64" s="27"/>
      <c r="BI64" s="27"/>
      <c r="BJ64" s="27"/>
      <c r="BK64" s="27"/>
      <c r="BL64" s="27"/>
      <c r="BN64" s="15"/>
      <c r="BO64" s="15"/>
      <c r="BQ64" s="27"/>
      <c r="BS64" s="15"/>
      <c r="BU64" s="15"/>
      <c r="BV64" s="15"/>
      <c r="BW64" s="15"/>
      <c r="BX64" s="111"/>
      <c r="BY64" s="111"/>
      <c r="CC64" s="15"/>
      <c r="CD64" s="27"/>
      <c r="CF64" s="60"/>
      <c r="CG64" s="61"/>
    </row>
    <row r="65" spans="1:85">
      <c r="A65" s="197">
        <f t="shared" si="12"/>
        <v>56</v>
      </c>
      <c r="B65" s="40" t="s">
        <v>228</v>
      </c>
      <c r="C65" s="157" t="s">
        <v>298</v>
      </c>
      <c r="D65" s="31">
        <v>1</v>
      </c>
      <c r="E65" s="31" t="s">
        <v>269</v>
      </c>
      <c r="F65" s="31" t="s">
        <v>54</v>
      </c>
      <c r="G65" s="31" t="s">
        <v>54</v>
      </c>
      <c r="H65" s="254" t="s">
        <v>423</v>
      </c>
      <c r="I65" s="31"/>
      <c r="J65" s="31"/>
      <c r="K65" s="5" t="s">
        <v>207</v>
      </c>
      <c r="L65" s="5" t="s">
        <v>56</v>
      </c>
      <c r="M65" s="5" t="s">
        <v>57</v>
      </c>
      <c r="N65" s="196">
        <v>16</v>
      </c>
      <c r="O65" s="145">
        <f t="shared" si="49"/>
        <v>32000</v>
      </c>
      <c r="P65" s="38"/>
      <c r="Q65" s="30">
        <f t="shared" si="55"/>
        <v>2000</v>
      </c>
      <c r="R65" s="38">
        <v>2360</v>
      </c>
      <c r="S65" s="10">
        <f t="shared" si="3"/>
        <v>0</v>
      </c>
      <c r="T65" s="45"/>
      <c r="U65" s="13"/>
      <c r="V65" s="131">
        <f t="shared" si="5"/>
        <v>0</v>
      </c>
      <c r="W65" s="136" t="e">
        <f t="shared" si="62"/>
        <v>#DIV/0!</v>
      </c>
      <c r="X65" s="65"/>
      <c r="Y65" s="12">
        <v>0.5</v>
      </c>
      <c r="Z65" s="44">
        <f t="shared" si="79"/>
        <v>0</v>
      </c>
      <c r="AA65" s="173">
        <v>46235</v>
      </c>
      <c r="AB65" s="35"/>
      <c r="AC65" s="132">
        <v>0.5</v>
      </c>
      <c r="AD65" s="44">
        <f t="shared" si="81"/>
        <v>0</v>
      </c>
      <c r="AE65" s="173">
        <v>46296</v>
      </c>
      <c r="AF65" s="23"/>
      <c r="AG65" s="20"/>
      <c r="AH65" s="10"/>
      <c r="AI65" s="23"/>
      <c r="AJ65" s="23"/>
      <c r="AK65" s="20"/>
      <c r="AL65" s="10"/>
      <c r="AM65" s="23"/>
      <c r="AN65" s="23"/>
      <c r="AP65" s="240">
        <v>0</v>
      </c>
      <c r="AQ65" s="241">
        <f t="shared" si="20"/>
        <v>0</v>
      </c>
      <c r="AR65" s="240">
        <v>0</v>
      </c>
      <c r="AS65" s="60">
        <f t="shared" si="8"/>
        <v>0</v>
      </c>
      <c r="AT65" s="111"/>
      <c r="AU65" s="111"/>
      <c r="AV65" s="111"/>
      <c r="AW65" s="111"/>
      <c r="AX65" s="111"/>
      <c r="AY65" s="111"/>
      <c r="AZ65" s="111"/>
      <c r="BA65" s="111"/>
      <c r="BB65" s="111"/>
      <c r="BC65" s="111"/>
      <c r="BD65" s="27"/>
      <c r="BE65" s="27"/>
      <c r="BF65" s="27"/>
      <c r="BG65" s="27"/>
      <c r="BH65" s="27"/>
      <c r="BI65" s="27"/>
      <c r="BJ65" s="27"/>
      <c r="BK65" s="27"/>
      <c r="BL65" s="27"/>
      <c r="BN65" s="15"/>
      <c r="BO65" s="15"/>
      <c r="BQ65" s="27"/>
      <c r="BS65" s="15"/>
      <c r="BU65" s="15"/>
      <c r="BV65" s="15"/>
      <c r="BW65" s="15"/>
      <c r="BX65" s="111"/>
      <c r="BY65" s="111"/>
      <c r="CC65" s="15"/>
      <c r="CD65" s="27"/>
      <c r="CF65" s="60">
        <f t="shared" si="15"/>
        <v>0</v>
      </c>
      <c r="CG65" s="61" t="e">
        <f t="shared" si="16"/>
        <v>#DIV/0!</v>
      </c>
    </row>
    <row r="66" spans="1:85">
      <c r="A66" s="197">
        <f t="shared" si="12"/>
        <v>57</v>
      </c>
      <c r="B66" s="178" t="s">
        <v>315</v>
      </c>
      <c r="C66" s="157" t="s">
        <v>298</v>
      </c>
      <c r="D66" s="31">
        <v>1</v>
      </c>
      <c r="E66" s="31" t="s">
        <v>316</v>
      </c>
      <c r="F66" s="31" t="s">
        <v>263</v>
      </c>
      <c r="G66" s="31" t="s">
        <v>54</v>
      </c>
      <c r="H66" s="254" t="s">
        <v>409</v>
      </c>
      <c r="I66" s="31" t="s">
        <v>183</v>
      </c>
      <c r="J66" s="31" t="s">
        <v>335</v>
      </c>
      <c r="K66" s="5" t="s">
        <v>105</v>
      </c>
      <c r="L66" s="5" t="s">
        <v>317</v>
      </c>
      <c r="M66" s="5" t="s">
        <v>318</v>
      </c>
      <c r="N66" s="38">
        <v>234</v>
      </c>
      <c r="O66" s="145">
        <f t="shared" si="49"/>
        <v>297457.62711864407</v>
      </c>
      <c r="P66" s="38"/>
      <c r="Q66" s="30">
        <f t="shared" si="55"/>
        <v>1271.1864406779662</v>
      </c>
      <c r="R66" s="38">
        <v>1500</v>
      </c>
      <c r="S66" s="10">
        <f t="shared" si="3"/>
        <v>0</v>
      </c>
      <c r="T66" s="45"/>
      <c r="U66" s="13"/>
      <c r="V66" s="131">
        <f t="shared" si="5"/>
        <v>0</v>
      </c>
      <c r="W66" s="136" t="e">
        <f t="shared" si="62"/>
        <v>#DIV/0!</v>
      </c>
      <c r="X66" s="65"/>
      <c r="Y66" s="233">
        <v>0.25</v>
      </c>
      <c r="Z66" s="221">
        <f t="shared" ref="Z66" si="82">S66*Y66</f>
        <v>0</v>
      </c>
      <c r="AA66" s="222">
        <v>46113</v>
      </c>
      <c r="AB66" s="234" t="s">
        <v>263</v>
      </c>
      <c r="AC66" s="12">
        <v>0.25</v>
      </c>
      <c r="AD66" s="44">
        <f t="shared" ref="AD66" si="83">S66*AC66</f>
        <v>0</v>
      </c>
      <c r="AE66" s="173">
        <v>46174</v>
      </c>
      <c r="AF66" s="166"/>
      <c r="AG66" s="165">
        <v>0.25</v>
      </c>
      <c r="AH66" s="180">
        <f>S66*AG66</f>
        <v>0</v>
      </c>
      <c r="AI66" s="173">
        <v>46266</v>
      </c>
      <c r="AJ66" s="127"/>
      <c r="AK66" s="165">
        <v>0.25</v>
      </c>
      <c r="AL66" s="127">
        <f>AH66</f>
        <v>0</v>
      </c>
      <c r="AM66" s="173">
        <v>46357</v>
      </c>
      <c r="AN66" s="23"/>
      <c r="AP66" s="240">
        <v>0</v>
      </c>
      <c r="AQ66" s="241">
        <f t="shared" si="20"/>
        <v>0</v>
      </c>
      <c r="AR66" s="240">
        <v>0</v>
      </c>
      <c r="AS66" s="60">
        <f t="shared" si="8"/>
        <v>0</v>
      </c>
      <c r="AT66" s="111"/>
      <c r="AU66" s="111"/>
      <c r="AV66" s="111"/>
      <c r="AW66" s="111"/>
      <c r="AX66" s="111"/>
      <c r="AY66" s="111"/>
      <c r="AZ66" s="111"/>
      <c r="BA66" s="111"/>
      <c r="BB66" s="111"/>
      <c r="BC66" s="111"/>
      <c r="BD66" s="27"/>
      <c r="BE66" s="27"/>
      <c r="BF66" s="27"/>
      <c r="BG66" s="27"/>
      <c r="BH66" s="27"/>
      <c r="BI66" s="27"/>
      <c r="BJ66" s="27"/>
      <c r="BK66" s="27"/>
      <c r="BL66" s="27"/>
      <c r="BN66" s="15"/>
      <c r="BO66" s="15"/>
      <c r="BQ66" s="27"/>
      <c r="BS66" s="15"/>
      <c r="BU66" s="15"/>
      <c r="BV66" s="15"/>
      <c r="BW66" s="15"/>
      <c r="BX66" s="111"/>
      <c r="BY66" s="111"/>
      <c r="CC66" s="15"/>
      <c r="CD66" s="27"/>
      <c r="CF66" s="60">
        <f t="shared" ref="CF66" si="84">BV66-CD66</f>
        <v>0</v>
      </c>
      <c r="CG66" s="61" t="e">
        <f t="shared" ref="CG66" si="85">CF66/BV66</f>
        <v>#DIV/0!</v>
      </c>
    </row>
    <row r="67" spans="1:85">
      <c r="A67" s="197">
        <f t="shared" si="12"/>
        <v>58</v>
      </c>
      <c r="B67" s="5" t="s">
        <v>81</v>
      </c>
      <c r="C67" s="31" t="s">
        <v>298</v>
      </c>
      <c r="D67" s="31">
        <v>1</v>
      </c>
      <c r="E67" s="31" t="s">
        <v>269</v>
      </c>
      <c r="F67" s="31" t="s">
        <v>263</v>
      </c>
      <c r="G67" s="31" t="s">
        <v>326</v>
      </c>
      <c r="H67" s="255" t="s">
        <v>384</v>
      </c>
      <c r="I67" s="31"/>
      <c r="J67" s="31"/>
      <c r="K67" s="5" t="s">
        <v>105</v>
      </c>
      <c r="L67" s="5" t="s">
        <v>327</v>
      </c>
      <c r="M67" s="5" t="s">
        <v>57</v>
      </c>
      <c r="N67" s="38">
        <v>300</v>
      </c>
      <c r="O67" s="145">
        <f t="shared" si="49"/>
        <v>540000</v>
      </c>
      <c r="P67" s="31"/>
      <c r="Q67" s="30">
        <f t="shared" si="55"/>
        <v>1800</v>
      </c>
      <c r="R67" s="38">
        <v>2124</v>
      </c>
      <c r="S67" s="10">
        <f t="shared" si="3"/>
        <v>0</v>
      </c>
      <c r="T67" s="31"/>
      <c r="U67" s="31"/>
      <c r="V67" s="131">
        <f t="shared" si="5"/>
        <v>0</v>
      </c>
      <c r="W67" s="136" t="e">
        <f t="shared" si="62"/>
        <v>#DIV/0!</v>
      </c>
      <c r="X67" s="65"/>
      <c r="Y67" s="12">
        <v>0.5</v>
      </c>
      <c r="Z67" s="44">
        <f t="shared" ref="Z67" si="86">S67*Y67</f>
        <v>0</v>
      </c>
      <c r="AA67" s="173">
        <v>46113</v>
      </c>
      <c r="AB67" s="31"/>
      <c r="AC67" s="12">
        <v>0.5</v>
      </c>
      <c r="AD67" s="44">
        <f t="shared" ref="AD67" si="87">S67*AC67</f>
        <v>0</v>
      </c>
      <c r="AE67" s="173">
        <v>46266</v>
      </c>
      <c r="AF67" s="31"/>
      <c r="AG67" s="31"/>
      <c r="AH67" s="31"/>
      <c r="AI67" s="31"/>
      <c r="AJ67" s="31"/>
      <c r="AK67" s="31"/>
      <c r="AL67" s="31"/>
      <c r="AM67" s="31"/>
      <c r="AN67" s="31"/>
      <c r="AP67" s="240">
        <v>0</v>
      </c>
      <c r="AQ67" s="241">
        <f t="shared" si="20"/>
        <v>0</v>
      </c>
      <c r="AR67" s="240">
        <v>0</v>
      </c>
      <c r="AS67" s="60">
        <f t="shared" si="8"/>
        <v>0</v>
      </c>
      <c r="AT67" s="111"/>
      <c r="AU67" s="111"/>
      <c r="AV67" s="111"/>
      <c r="AW67" s="111"/>
      <c r="AX67" s="111"/>
      <c r="AY67" s="111"/>
      <c r="AZ67" s="111"/>
      <c r="BA67" s="111"/>
      <c r="BB67" s="111"/>
      <c r="BC67" s="111"/>
      <c r="BD67" s="27"/>
      <c r="BE67" s="27"/>
      <c r="BF67" s="27"/>
      <c r="BG67" s="27"/>
      <c r="BH67" s="27"/>
      <c r="BI67" s="27"/>
      <c r="BJ67" s="27"/>
      <c r="BK67" s="27"/>
      <c r="BL67" s="27"/>
      <c r="BN67" s="15"/>
      <c r="BO67" s="15"/>
      <c r="BQ67" s="27"/>
      <c r="BS67" s="15"/>
      <c r="BU67" s="15"/>
      <c r="BV67" s="15"/>
      <c r="BW67" s="15"/>
      <c r="BX67" s="111"/>
      <c r="BY67" s="111"/>
      <c r="CC67" s="15"/>
      <c r="CD67" s="27"/>
      <c r="CF67" s="15"/>
      <c r="CG67" s="61"/>
    </row>
    <row r="68" spans="1:85">
      <c r="A68" s="197">
        <f t="shared" si="12"/>
        <v>59</v>
      </c>
      <c r="B68" s="5" t="s">
        <v>328</v>
      </c>
      <c r="C68" s="31" t="s">
        <v>298</v>
      </c>
      <c r="D68" s="31">
        <v>11</v>
      </c>
      <c r="E68" s="31" t="s">
        <v>269</v>
      </c>
      <c r="F68" s="31" t="s">
        <v>263</v>
      </c>
      <c r="G68" s="31" t="s">
        <v>54</v>
      </c>
      <c r="H68" s="254" t="s">
        <v>410</v>
      </c>
      <c r="I68" s="31"/>
      <c r="J68" s="31"/>
      <c r="K68" s="5" t="s">
        <v>105</v>
      </c>
      <c r="L68" s="5" t="s">
        <v>56</v>
      </c>
      <c r="M68" s="5" t="s">
        <v>57</v>
      </c>
      <c r="N68" s="38">
        <v>7950</v>
      </c>
      <c r="O68" s="145">
        <f>N68*Q68</f>
        <v>5457203.3898305083</v>
      </c>
      <c r="P68" s="31"/>
      <c r="Q68" s="30">
        <f t="shared" si="55"/>
        <v>686.4406779661017</v>
      </c>
      <c r="R68" s="38">
        <v>810</v>
      </c>
      <c r="S68" s="10">
        <f t="shared" si="3"/>
        <v>0</v>
      </c>
      <c r="T68" s="31"/>
      <c r="U68" s="31"/>
      <c r="V68" s="131">
        <f t="shared" si="5"/>
        <v>0</v>
      </c>
      <c r="W68" s="136" t="e">
        <f t="shared" si="62"/>
        <v>#DIV/0!</v>
      </c>
      <c r="X68" s="65"/>
      <c r="Y68" s="12">
        <v>0.25</v>
      </c>
      <c r="Z68" s="44">
        <f t="shared" ref="Z68:Z69" si="88">S68*Y68</f>
        <v>0</v>
      </c>
      <c r="AA68" s="43"/>
      <c r="AB68" s="31"/>
      <c r="AC68" s="12">
        <v>0.25</v>
      </c>
      <c r="AD68" s="44">
        <f t="shared" ref="AD68:AD69" si="89">S68*AC68</f>
        <v>0</v>
      </c>
      <c r="AE68" s="43"/>
      <c r="AF68" s="31"/>
      <c r="AG68" s="12">
        <v>0.25</v>
      </c>
      <c r="AH68" s="180">
        <f>S68*AG68</f>
        <v>0</v>
      </c>
      <c r="AI68" s="43"/>
      <c r="AJ68" s="31"/>
      <c r="AK68" s="12">
        <v>0.25</v>
      </c>
      <c r="AL68" s="127">
        <f>AH68</f>
        <v>0</v>
      </c>
      <c r="AM68" s="43"/>
      <c r="AN68" s="31"/>
      <c r="AP68" s="240">
        <v>0</v>
      </c>
      <c r="AQ68" s="241">
        <f t="shared" si="20"/>
        <v>0</v>
      </c>
      <c r="AR68" s="240">
        <v>0</v>
      </c>
      <c r="AS68" s="60">
        <f t="shared" si="8"/>
        <v>0</v>
      </c>
      <c r="AT68" s="111"/>
      <c r="AU68" s="111"/>
      <c r="AV68" s="111"/>
      <c r="AW68" s="111"/>
      <c r="AX68" s="111"/>
      <c r="AY68" s="111"/>
      <c r="AZ68" s="111"/>
      <c r="BA68" s="111"/>
      <c r="BB68" s="111"/>
      <c r="BC68" s="111"/>
      <c r="BD68" s="27"/>
      <c r="BE68" s="27"/>
      <c r="BF68" s="27"/>
      <c r="BG68" s="27"/>
      <c r="BH68" s="27"/>
      <c r="BI68" s="27"/>
      <c r="BJ68" s="27"/>
      <c r="BK68" s="27"/>
      <c r="BL68" s="27"/>
      <c r="BN68" s="15"/>
      <c r="BO68" s="15"/>
      <c r="BQ68" s="27"/>
      <c r="BS68" s="15"/>
      <c r="BU68" s="15"/>
      <c r="BV68" s="15"/>
      <c r="BW68" s="15"/>
      <c r="BX68" s="111"/>
      <c r="BY68" s="111"/>
      <c r="CC68" s="15"/>
      <c r="CD68" s="27"/>
      <c r="CF68" s="15"/>
      <c r="CG68" s="61"/>
    </row>
    <row r="69" spans="1:85">
      <c r="A69" s="4">
        <f>A68+1</f>
        <v>60</v>
      </c>
      <c r="B69" s="178" t="s">
        <v>357</v>
      </c>
      <c r="C69" s="31" t="s">
        <v>297</v>
      </c>
      <c r="D69" s="31">
        <v>1</v>
      </c>
      <c r="E69" s="31" t="s">
        <v>343</v>
      </c>
      <c r="F69" s="31" t="s">
        <v>54</v>
      </c>
      <c r="G69" s="31" t="s">
        <v>54</v>
      </c>
      <c r="H69" s="254" t="s">
        <v>411</v>
      </c>
      <c r="I69" s="31" t="s">
        <v>292</v>
      </c>
      <c r="J69" s="31" t="s">
        <v>335</v>
      </c>
      <c r="K69" s="38" t="s">
        <v>281</v>
      </c>
      <c r="L69" s="5" t="s">
        <v>358</v>
      </c>
      <c r="M69" s="5" t="s">
        <v>359</v>
      </c>
      <c r="N69" s="38">
        <v>100</v>
      </c>
      <c r="O69" s="145">
        <f>N69*Q69</f>
        <v>127118.64406779662</v>
      </c>
      <c r="P69" s="38">
        <v>100</v>
      </c>
      <c r="Q69" s="30">
        <f t="shared" si="55"/>
        <v>1271.1864406779662</v>
      </c>
      <c r="R69" s="38">
        <v>1500</v>
      </c>
      <c r="S69" s="10">
        <f t="shared" si="3"/>
        <v>150000</v>
      </c>
      <c r="T69" s="45">
        <v>30000</v>
      </c>
      <c r="U69" s="13"/>
      <c r="V69" s="131">
        <f t="shared" si="5"/>
        <v>120000</v>
      </c>
      <c r="W69" s="136">
        <f t="shared" si="62"/>
        <v>0.2</v>
      </c>
      <c r="X69" s="65"/>
      <c r="Y69" s="230">
        <v>0.2</v>
      </c>
      <c r="Z69" s="226">
        <f t="shared" si="88"/>
        <v>30000</v>
      </c>
      <c r="AA69" s="231">
        <v>46174</v>
      </c>
      <c r="AB69" s="232" t="s">
        <v>145</v>
      </c>
      <c r="AC69" s="12">
        <v>0.4</v>
      </c>
      <c r="AD69" s="44">
        <f t="shared" si="89"/>
        <v>60000</v>
      </c>
      <c r="AE69" s="80">
        <v>46174</v>
      </c>
      <c r="AF69" s="23"/>
      <c r="AG69" s="12">
        <v>0.4</v>
      </c>
      <c r="AH69" s="180">
        <f>S69*AG69</f>
        <v>60000</v>
      </c>
      <c r="AI69" s="229">
        <v>46266</v>
      </c>
      <c r="AJ69" s="10"/>
      <c r="AK69" s="12"/>
      <c r="AL69" s="10"/>
      <c r="AM69" s="80"/>
      <c r="AN69" s="23"/>
      <c r="AP69" s="242">
        <v>0</v>
      </c>
      <c r="AQ69" s="243">
        <f t="shared" si="20"/>
        <v>30000</v>
      </c>
      <c r="AR69" s="242">
        <v>0</v>
      </c>
      <c r="AS69" s="244">
        <f t="shared" si="8"/>
        <v>120000</v>
      </c>
      <c r="AT69" s="111"/>
      <c r="AU69" s="111"/>
      <c r="AV69" s="111"/>
      <c r="AW69" s="111"/>
      <c r="AX69" s="111"/>
      <c r="AY69" s="111"/>
      <c r="AZ69" s="111"/>
      <c r="BA69" s="111"/>
      <c r="BB69" s="111"/>
      <c r="BC69" s="111"/>
      <c r="BD69" s="27"/>
      <c r="BE69" s="27"/>
      <c r="BF69" s="27"/>
      <c r="BG69" s="27"/>
      <c r="BH69" s="27"/>
      <c r="BI69" s="27"/>
      <c r="BJ69" s="27"/>
      <c r="BK69" s="27"/>
      <c r="BL69" s="27"/>
      <c r="BN69" s="15"/>
      <c r="BO69" s="15"/>
      <c r="BQ69" s="27"/>
      <c r="BS69" s="15"/>
      <c r="BU69" s="15"/>
      <c r="BV69" s="15"/>
      <c r="BW69" s="15"/>
      <c r="BX69" s="111"/>
      <c r="BY69" s="111"/>
      <c r="CC69" s="15"/>
      <c r="CD69" s="27"/>
      <c r="CF69" s="15"/>
      <c r="CG69" s="61"/>
    </row>
    <row r="70" spans="1:85" ht="15.75" thickBot="1">
      <c r="N70" s="227">
        <f>SUM(N5:N69)</f>
        <v>33676</v>
      </c>
      <c r="O70" s="228">
        <f>SUM(O5:O68)</f>
        <v>40344285.711772881</v>
      </c>
      <c r="S70" s="15">
        <f>SUM(S5:S69)</f>
        <v>25592279.999400001</v>
      </c>
      <c r="AO70" s="245" t="s">
        <v>375</v>
      </c>
      <c r="AP70" s="251">
        <f>SUBTOTAL(9,AP5:AP69)</f>
        <v>569116</v>
      </c>
      <c r="AQ70" s="251">
        <f t="shared" ref="AQ70:AS70" si="90">SUBTOTAL(9,AQ5:AQ69)</f>
        <v>925982.8</v>
      </c>
      <c r="AR70" s="251">
        <f t="shared" si="90"/>
        <v>0</v>
      </c>
      <c r="AS70" s="251">
        <f t="shared" si="90"/>
        <v>24122181.1994</v>
      </c>
    </row>
    <row r="71" spans="1:85" ht="15.75" thickTop="1">
      <c r="N71" s="182"/>
      <c r="AO71" s="245" t="s">
        <v>376</v>
      </c>
      <c r="AP71" s="252">
        <f>AP70*100/118</f>
        <v>482301.69491525425</v>
      </c>
      <c r="AQ71" s="252">
        <f t="shared" ref="AQ71:AS71" si="91">AQ70*100/118</f>
        <v>784731.18644067796</v>
      </c>
      <c r="AR71" s="252">
        <f t="shared" si="91"/>
        <v>0</v>
      </c>
      <c r="AS71" s="252">
        <f t="shared" si="91"/>
        <v>20442526.440169491</v>
      </c>
    </row>
    <row r="72" spans="1:85">
      <c r="N72" s="182"/>
      <c r="P72" s="15"/>
      <c r="S72" s="115"/>
      <c r="T72" s="14"/>
      <c r="U72" s="14"/>
      <c r="V72" s="15"/>
      <c r="W72" s="14"/>
      <c r="X72" s="14"/>
      <c r="Y72" s="14"/>
    </row>
    <row r="73" spans="1:85">
      <c r="N73" s="182"/>
      <c r="R73" s="16"/>
      <c r="S73" s="115"/>
      <c r="T73" s="14"/>
      <c r="U73" s="14"/>
      <c r="V73" s="14"/>
      <c r="W73" s="14"/>
      <c r="X73" s="14"/>
      <c r="Y73" s="14"/>
    </row>
    <row r="74" spans="1:85">
      <c r="N74" s="182"/>
      <c r="T74" s="14"/>
      <c r="U74" s="14"/>
      <c r="V74" s="14"/>
      <c r="W74" s="14"/>
      <c r="X74" s="14"/>
      <c r="Y74" s="14"/>
    </row>
    <row r="75" spans="1:85">
      <c r="N75" s="182"/>
      <c r="S75" s="16"/>
    </row>
    <row r="76" spans="1:85">
      <c r="N76" s="182"/>
      <c r="P76" s="64"/>
    </row>
    <row r="77" spans="1:85">
      <c r="N77" s="182"/>
    </row>
    <row r="78" spans="1:85">
      <c r="N78" s="194"/>
      <c r="O78" s="15"/>
      <c r="R78" s="16"/>
    </row>
  </sheetData>
  <autoFilter ref="A4:AM70" xr:uid="{00000000-0001-0000-0000-000000000000}"/>
  <mergeCells count="18">
    <mergeCell ref="BX1:CA1"/>
    <mergeCell ref="BV3:BV4"/>
    <mergeCell ref="CD3:CD4"/>
    <mergeCell ref="CF3:CF4"/>
    <mergeCell ref="BY2:CA2"/>
    <mergeCell ref="BX3:BX4"/>
    <mergeCell ref="BY3:BY4"/>
    <mergeCell ref="H47:H50"/>
    <mergeCell ref="H59:H60"/>
    <mergeCell ref="W47:W50"/>
    <mergeCell ref="AR2:BC2"/>
    <mergeCell ref="BF3:BF4"/>
    <mergeCell ref="Y3:AB3"/>
    <mergeCell ref="AC3:AF3"/>
    <mergeCell ref="AG3:AJ3"/>
    <mergeCell ref="AK3:AN3"/>
    <mergeCell ref="AP3:AS3"/>
    <mergeCell ref="N3:O3"/>
  </mergeCells>
  <conditionalFormatting sqref="B40 B12:B20">
    <cfRule type="duplicateValues" dxfId="38" priority="13"/>
  </conditionalFormatting>
  <conditionalFormatting sqref="B41">
    <cfRule type="duplicateValues" dxfId="37" priority="2"/>
  </conditionalFormatting>
  <conditionalFormatting sqref="B42">
    <cfRule type="duplicateValues" dxfId="36" priority="12"/>
  </conditionalFormatting>
  <conditionalFormatting sqref="B43">
    <cfRule type="duplicateValues" dxfId="35" priority="11"/>
  </conditionalFormatting>
  <conditionalFormatting sqref="B44">
    <cfRule type="duplicateValues" dxfId="34" priority="10"/>
  </conditionalFormatting>
  <conditionalFormatting sqref="B45">
    <cfRule type="duplicateValues" dxfId="33" priority="9"/>
  </conditionalFormatting>
  <conditionalFormatting sqref="B46">
    <cfRule type="duplicateValues" dxfId="32" priority="8"/>
  </conditionalFormatting>
  <conditionalFormatting sqref="B47:B50">
    <cfRule type="duplicateValues" dxfId="31" priority="7"/>
  </conditionalFormatting>
  <conditionalFormatting sqref="B55:B56">
    <cfRule type="duplicateValues" dxfId="30" priority="6"/>
  </conditionalFormatting>
  <conditionalFormatting sqref="B57:B60">
    <cfRule type="duplicateValues" dxfId="29" priority="5"/>
  </conditionalFormatting>
  <conditionalFormatting sqref="B67:B68">
    <cfRule type="duplicateValues" dxfId="28" priority="3"/>
  </conditionalFormatting>
  <conditionalFormatting sqref="B72:B77 B5">
    <cfRule type="duplicateValues" dxfId="27" priority="14"/>
  </conditionalFormatting>
  <hyperlinks>
    <hyperlink ref="H5" r:id="rId1" display="../../../../../../:f:/g/personal/ujaccounts_getsetlearn_info/IgDztpgltZLoQaMehLndULGnAdj73KGy0hohRDa8vMomgWw?e=GNsRiC" xr:uid="{4D71AC98-5475-46A0-B684-1AF6C7E6723E}"/>
    <hyperlink ref="H8" r:id="rId2" display="https://maftechnologies-my.sharepoint.com/:b:/g/personal/ujaccounts_getsetlearn_info/IQBj2DhRdO5JSINO1iaV2uB-Ac4y3dAYYPx0OhyqGzqrA_o?e=433fcU" xr:uid="{C2FEE56B-7950-4A78-B59B-58737D8A01C0}"/>
    <hyperlink ref="H11" r:id="rId3" display="../../../../../../:f:/g/personal/ujaccounts_getsetlearn_info/IgAWPOqVQoI7Qo7fikODfxTGAcavDqHo4ICl027R13A8cQE?e=OY5da6" xr:uid="{AC4A0DFE-648C-42D2-AF5A-902FF29C50E0}"/>
    <hyperlink ref="H13" r:id="rId4" display="https://maftechnologies-my.sharepoint.com/:b:/g/personal/ujaccounts_getsetlearn_info/IQBxXu9JLA3ER4nvohXXMKimATtQ4AAOghX6wVQcjHpr6Bs?e=jNj3de" xr:uid="{37C23F84-BA14-4B20-9297-449234C14476}"/>
    <hyperlink ref="H17" r:id="rId5" display="https://maftechnologies-my.sharepoint.com/:b:/g/personal/ujaccounts_getsetlearn_info/IQCz0b2_vh3aRqlCkdhndNJ4AQNWEhaLuzWLWlomCxn3b5g?e=2u1RlM" xr:uid="{1A23A926-55D0-4373-882A-88C2F3EC333E}"/>
    <hyperlink ref="H18" r:id="rId6" display="https://maftechnologies-my.sharepoint.com/:b:/g/personal/ujaccounts_getsetlearn_info/IQCeWvm1SNh2Soj7tUeL6N1UAbBjr996grmJqa4me2PkwNg?e=3lBwma" xr:uid="{01BC2DD9-BDB0-4E86-B493-F9A6DB3899E7}"/>
    <hyperlink ref="H19" r:id="rId7" display="https://maftechnologies-my.sharepoint.com/:b:/g/personal/ujaccounts_getsetlearn_info/IQAhxAUM5CEWTbrIi85hTkIXAWqgQbwLQSjjSEoTSgZmM4A?e=slmNRe" xr:uid="{F8787357-4D95-40A0-B5F7-BA892932EC4C}"/>
    <hyperlink ref="H20" r:id="rId8" display="../../../../../../:f:/g/personal/ujaccounts_getsetlearn_info/IgBIq6oyAozRSJg1VR6NzmLCARGX01ZMdbBV-0KGQMnOCd0?e=UvVr8T" xr:uid="{6A9B6880-D541-48E0-A943-BEEEC632F224}"/>
    <hyperlink ref="H21" r:id="rId9" display="../../../../../../:f:/g/personal/ujaccounts_getsetlearn_info/IgAlr1DqaxqhTa4GGAtQ_DcmAXtRDCnQlZy4_VQki_zDV6Y?e=N8m7Ga" xr:uid="{7625AA64-65F8-4E95-AA2A-67417AFCC8E8}"/>
    <hyperlink ref="H22" r:id="rId10" display="https://maftechnologies-my.sharepoint.com/:b:/g/personal/ujaccounts_getsetlearn_info/IQDkDD8Sx2YqSYR-kGkbzi3MAUmaRkQudsDmeT16_FTvZzs?e=30UTih" xr:uid="{B4C25B0E-88C9-4F0E-9813-A0A98817D7C4}"/>
    <hyperlink ref="H23" r:id="rId11" display="https://maftechnologies-my.sharepoint.com/:b:/g/personal/ujaccounts_getsetlearn_info/IQBCnULUlxRWS5yKqzwN-nOPAUSOEUmvDnTbp3SqP3kbuIU?e=hNMGl5" xr:uid="{45A8CFFA-B26A-46B6-B94B-7FAEE874D8BD}"/>
    <hyperlink ref="H24" r:id="rId12" display="https://maftechnologies-my.sharepoint.com/:b:/g/personal/ujaccounts_getsetlearn_info/IQCvRLwBed6aRpsjlqZ-6JDzAezTZzMxo_EstqG622kOAUw?e=afCBW3" xr:uid="{FD926B70-9F87-4CB0-BA8F-C3DEFC4B1774}"/>
    <hyperlink ref="H25" r:id="rId13" display="https://maftechnologies-my.sharepoint.com/:b:/g/personal/ujaccounts_getsetlearn_info/IQBnJ1UpiJ_QQ7P33UwatKULAU7Mq0M-eegfTIMGplGjx80?e=kJQLD9" xr:uid="{D319F3DA-1ECC-4F80-827E-3F48B2B93CA6}"/>
    <hyperlink ref="H26" r:id="rId14" display="../../../../../../:f:/g/personal/ujaccounts_getsetlearn_info/IgDKsmZpFSaWR7WY4LbLXnm8AR2TXeXffM9l94gBjQ58V58?e=hMcNiT" xr:uid="{A092353A-F587-44BB-A4B9-027FD3644998}"/>
    <hyperlink ref="H27" r:id="rId15" display="https://maftechnologies-my.sharepoint.com/:b:/g/personal/ujaccounts_getsetlearn_info/IQDgRqOHit9JQos-G8iilrc-AVPXkW9ubIkv06XJO0oeUho?e=O5jtaA" xr:uid="{C60F47AF-2228-443B-A230-F055122D2EE1}"/>
    <hyperlink ref="H28" r:id="rId16" display="../../../../../../:f:/g/personal/ujaccounts_getsetlearn_info/IgBhMzQ4SfnMTo9DYwysHsllAYppgZJtrrRtCH-wPNtLMqg?e=zrc62v" xr:uid="{4E1D465B-5E28-456F-A23D-6716B7336B95}"/>
    <hyperlink ref="H29" r:id="rId17" display="https://maftechnologies-my.sharepoint.com/:b:/g/personal/ujaccounts_getsetlearn_info/IQAKJmMqV5EZS6mtrEbnR9t1AXdKwjUMeo7oNCTIWwgqwDc?e=daFnEt" xr:uid="{1B9AC65C-7EBF-43CB-A480-0D0A6DDD68EA}"/>
    <hyperlink ref="H30" r:id="rId18" display="https://maftechnologies-my.sharepoint.com/:b:/g/personal/ujaccounts_getsetlearn_info/IQBWXrfvOKb-Qb9Tqa3QD4ubAf4fImSCEvSbwTk94KiEWIc?e=NY4gTO" xr:uid="{33871C7D-BA5C-49CD-B21F-0ACDFB4D5465}"/>
    <hyperlink ref="H31" r:id="rId19" display="https://maftechnologies-my.sharepoint.com/:b:/g/personal/ujaccounts_getsetlearn_info/IQCPWGV45ud6T74jx1phqKmCASPimi5gysClwvNU8GiGyV0?e=mLGjb4" xr:uid="{17A0318F-70F1-4A2E-B973-7CACCD9CDF2B}"/>
    <hyperlink ref="H36" r:id="rId20" display="https://maftechnologies-my.sharepoint.com/:b:/g/personal/ujaccounts_getsetlearn_info/IQC5CR0alyqfQ5leFo8FDucDAawwYdnACoqOa_8F3QAvZE0?e=fz0JTx" xr:uid="{01BE3D1B-F7C6-4981-9BDA-E91FB296EA4E}"/>
    <hyperlink ref="H37" r:id="rId21" display="https://maftechnologies-my.sharepoint.com/:b:/g/personal/ujaccounts_getsetlearn_info/IQDsShPQ-73qSq3JiWkEYIxmAXJ4_Oi5mTgJ8XShd6WObpo?e=VCsMux" xr:uid="{88048EAB-BC95-4CBF-8E24-82BCCDA32D6F}"/>
    <hyperlink ref="H38" r:id="rId22" display="https://maftechnologies-my.sharepoint.com/:b:/g/personal/ujaccounts_getsetlearn_info/IQB_qhRFJ24vQJX_IWaW3K3SARHwkSlq-dqTeqOyQWoc9jY?e=wG3eEz" xr:uid="{07D6E1F6-5473-44A7-9BCC-89F1E65F8BA2}"/>
    <hyperlink ref="H39" r:id="rId23" display="../../../../../../:f:/g/personal/ujaccounts_getsetlearn_info/IgBVFRb_cjvvQaoUO77n9qrWAbKjtqvoNFlyCFd6QmOdy3Q?e=RjQcID" xr:uid="{1B43BC2C-6059-40F6-8C89-4E802213CC3E}"/>
    <hyperlink ref="H40" r:id="rId24" display="https://maftechnologies-my.sharepoint.com/:b:/g/personal/ujaccounts_getsetlearn_info/IQCsSJsP9o6bRbmZq7MxT-OwAbP8GY95_1k5qJ4ohie8ZA8?e=lE6cjo" xr:uid="{E1627D7D-E735-466D-B62E-58DDF1B0BB56}"/>
    <hyperlink ref="H51" r:id="rId25" display="https://maftechnologies-my.sharepoint.com/:b:/g/personal/ujaccounts_getsetlearn_info/IQBhg_SsKrn7SLteCITW9ctjAROXeOFR8Sdg1IuNr7vMk-g?e=vvN2hk" xr:uid="{1FB9B00D-D9D5-4CCB-B605-1B4E644C75D9}"/>
    <hyperlink ref="H52" r:id="rId26" display="https://maftechnologies-my.sharepoint.com/:b:/g/personal/ujaccounts_getsetlearn_info/IQBhg_SsKrn7SLteCITW9ctjAROXeOFR8Sdg1IuNr7vMk-g?e=vvN2hk" xr:uid="{75B77680-1C6E-41B2-B082-80E1832DC611}"/>
    <hyperlink ref="H56" r:id="rId27" display="https://maftechnologies-my.sharepoint.com/:b:/g/personal/ujaccounts_getsetlearn_info/IQD9kPS8-24WTZIfeAGktGwJAZ_CagYVXg7xs2VXztrDwkE?e=GSMkBi" xr:uid="{95CD1610-6908-4394-A22B-41639870C474}"/>
    <hyperlink ref="H64" r:id="rId28" display="https://maftechnologies-my.sharepoint.com/:b:/g/personal/ujaccounts_getsetlearn_info/IQCNc4735FuST64V96GKh1iaASB_uA_5cbpUi2k4TtcJ9tw?e=Ztq16R" xr:uid="{A0758C4D-1191-4F57-8CE7-7708E7F9E52C}"/>
    <hyperlink ref="H35" r:id="rId29" display="https://maftechnologies-my.sharepoint.com/:b:/g/personal/ujaccounts_getsetlearn_info/IQB7KEhFT7znR6uS09ZRvtx3AaExlE9BoVgjtrMETQ65tV8?e=383RyV" xr:uid="{608D2C10-A125-490B-933C-9727B7065974}"/>
    <hyperlink ref="H66" r:id="rId30" display="../../../../../../:f:/g/personal/ujaccounts_getsetlearn_info/IgBI_fiv_uaJQ7s32Q0QPf27AXliCtvEWkBkJenHtwoZEk4?e=6uATft" xr:uid="{A648F0F7-67AA-4AA2-B34A-A7F644FDA67C}"/>
    <hyperlink ref="H68" r:id="rId31" display="https://maftechnologies-my.sharepoint.com/:b:/g/personal/ujaccounts_getsetlearn_info/IQCorVSSVABmTqsTPJuAbMtRAQu0mAaQ5hj93odnk5jMuV8?e=FXQKvb" xr:uid="{62CBD3B9-8871-4E22-9F1A-11ED0E3ED365}"/>
    <hyperlink ref="H69" r:id="rId32" display="https://maftechnologies-my.sharepoint.com/:b:/g/personal/ujaccounts_getsetlearn_info/IQCfXtOXg7wUQ6vVnRXDNS8QAY77RxFEnB39TdUG-p7--JQ?e=cSRIWF" xr:uid="{7CC8A9A8-413F-45C0-92C8-EDC32F839C56}"/>
    <hyperlink ref="H42" r:id="rId33" display="../../../../../../:f:/g/personal/ujaccounts_getsetlearn_info/IgCoAluEn2Y6Spq7iTLvgq11AQD8iG0gIDTVyVm3M90DMH8?e=E22MIC" xr:uid="{A5455FB0-D448-4EEC-9464-BA811FEF4AD7}"/>
    <hyperlink ref="H12" r:id="rId34" display="https://maftechnologies-my.sharepoint.com/:b:/g/personal/ujaccounts_getsetlearn_info/IQA-T29ksztxRbHbAkdkRFrhAX7ORPS-z_BL9cmKqmGJi4Y?e=2F5vRy" xr:uid="{B9796445-F46B-41DB-ABB8-677098172403}"/>
    <hyperlink ref="H43" r:id="rId35" display="https://maftechnologies-my.sharepoint.com/:b:/g/personal/ujaccounts_getsetlearn_info/IQBopXD3UBBAQJGCAJ9EexaSAcmAo_3MfzuFsIgu1LiWI9g?e=cTEWAW" xr:uid="{D872C9C5-776F-48DF-99BC-1DF595459665}"/>
    <hyperlink ref="H44" r:id="rId36" display="https://maftechnologies-my.sharepoint.com/:b:/g/personal/ujaccounts_getsetlearn_info/IQDEEzaPuBNGQJCZR3vH7j1EAdMsIyXKreI1LWT8Y683Stk?e=SG32Dx" xr:uid="{801588BF-61A7-41A4-A96A-9A055223C1EC}"/>
    <hyperlink ref="H45" r:id="rId37" display="https://maftechnologies-my.sharepoint.com/:b:/g/personal/ujaccounts_getsetlearn_info/IQAXzy3AwpKUQ7nv9EAOr262AYrrzjPhnvAxCRAf2F1WTQQ?e=Sl8imo" xr:uid="{C0FF873A-E929-414D-AE3E-12C143EF636A}"/>
    <hyperlink ref="H47" r:id="rId38" display="https://maftechnologies-my.sharepoint.com/:b:/g/personal/ujaccounts_getsetlearn_info/IQDTyYR7KJH6Qq9heiLLry6dASCcph-x9N4nzEQopbzBeRg?e=ZR1s3X" xr:uid="{664EA99B-5C9E-459F-90B1-759EAE292F7B}"/>
    <hyperlink ref="H55" r:id="rId39" display="https://maftechnologies-my.sharepoint.com/:b:/g/personal/ujaccounts_getsetlearn_info/IQD5bZIBVVt4TIYAaF-1hQqIAWiZxspcXUbQYJr9LKyUaGA?e=vgcBlD" xr:uid="{98AD1B77-98A4-40E6-8A3B-C98B4CB3EA30}"/>
    <hyperlink ref="H57" r:id="rId40" display="https://maftechnologies-my.sharepoint.com/:b:/g/personal/ujaccounts_getsetlearn_info/IQAjHfIyQSkHTIMQTjKyNUDuAQO8KsJgsfLvSvsESUO8vLk?e=RYODNK" xr:uid="{091D8748-7415-4F9C-93E6-910096A265F0}"/>
    <hyperlink ref="H59" r:id="rId41" display="https://maftechnologies-my.sharepoint.com/:b:/g/personal/ujaccounts_getsetlearn_info/IQDiLqQXtF-QQZqPlWr0WFiTAdX3PoQm91CDJwulsS06YIk?e=W6OTLr" xr:uid="{91D7F577-2B3D-42F5-B070-37AEE862ED72}"/>
    <hyperlink ref="H61" r:id="rId42" display="https://maftechnologies-my.sharepoint.com/:b:/g/personal/ujaccounts_getsetlearn_info/IQB1POXNUhN1T5kHwreslSteASM3PVKpO7InlvQI87Cymlw?e=yoXo25" xr:uid="{B87D3158-EC97-4020-82D1-1A772693BEAA}"/>
    <hyperlink ref="H62" r:id="rId43" display="https://maftechnologies-my.sharepoint.com/:b:/g/personal/ujaccounts_getsetlearn_info/IQCxx85vF999Rofy4RJDTBLOAcbGSlHgo33rnA0GYeFiXD8?e=XSh5Ra" xr:uid="{FB792C64-F275-49A4-99C1-81CE28B262E6}"/>
    <hyperlink ref="H65" r:id="rId44" display="https://maftechnologies-my.sharepoint.com/:b:/g/personal/ujaccounts_getsetlearn_info/IQCN7PyTATT2TZ7C6FxLstSiAfVMKU7FEqbwddEZp2f3jK4?e=TDzdh0" xr:uid="{38F2352F-302A-483C-B02B-BF38316EC172}"/>
  </hyperlinks>
  <pageMargins left="0.7" right="0.7" top="0.75" bottom="0.75" header="0.3" footer="0.3"/>
  <pageSetup orientation="portrait" r:id="rId45"/>
  <legacyDrawing r:id="rId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73B2C-3AB8-4AF3-9FD6-FF01EEED97C3}">
  <dimension ref="A1:Y17"/>
  <sheetViews>
    <sheetView showGridLines="0" tabSelected="1" workbookViewId="0">
      <selection activeCell="D11" sqref="D11"/>
    </sheetView>
  </sheetViews>
  <sheetFormatPr defaultColWidth="9.140625" defaultRowHeight="15"/>
  <cols>
    <col min="1" max="1" width="7.28515625" style="256" customWidth="1"/>
    <col min="2" max="2" width="41.28515625" style="259" customWidth="1"/>
    <col min="3" max="3" width="12.7109375" style="259" bestFit="1" customWidth="1"/>
    <col min="4" max="4" width="16.85546875" style="259" bestFit="1" customWidth="1"/>
    <col min="5" max="5" width="33.5703125" style="259" bestFit="1" customWidth="1"/>
    <col min="6" max="6" width="14.28515625" style="259" bestFit="1" customWidth="1"/>
    <col min="7" max="7" width="15.28515625" style="259" customWidth="1"/>
    <col min="8" max="8" width="16.7109375" style="256" bestFit="1" customWidth="1"/>
    <col min="9" max="9" width="16.7109375" style="256" customWidth="1"/>
    <col min="10" max="10" width="16.5703125" style="256" bestFit="1" customWidth="1"/>
    <col min="11" max="11" width="14.140625" style="256" bestFit="1" customWidth="1"/>
    <col min="12" max="12" width="16.42578125" style="258" bestFit="1" customWidth="1"/>
    <col min="13" max="13" width="18.85546875" style="258" bestFit="1" customWidth="1"/>
    <col min="14" max="14" width="12.5703125" style="257" bestFit="1" customWidth="1"/>
    <col min="15" max="15" width="13" style="257" bestFit="1" customWidth="1"/>
    <col min="16" max="16" width="16.7109375" style="257" bestFit="1" customWidth="1"/>
    <col min="17" max="17" width="13.42578125" style="257" bestFit="1" customWidth="1"/>
    <col min="18" max="18" width="17.140625" style="257" bestFit="1" customWidth="1"/>
    <col min="19" max="19" width="14.28515625" style="257" bestFit="1" customWidth="1"/>
    <col min="20" max="20" width="20.42578125" style="257" bestFit="1" customWidth="1"/>
    <col min="21" max="21" width="10.42578125" style="257" customWidth="1"/>
    <col min="22" max="22" width="13.7109375" style="256" bestFit="1" customWidth="1"/>
    <col min="23" max="23" width="23.140625" style="256" bestFit="1" customWidth="1"/>
    <col min="24" max="25" width="9.140625" style="256"/>
    <col min="26" max="26" width="3" style="256" bestFit="1" customWidth="1"/>
    <col min="27" max="27" width="25" style="256" bestFit="1" customWidth="1"/>
    <col min="28" max="16384" width="9.140625" style="256"/>
  </cols>
  <sheetData>
    <row r="1" spans="1:25">
      <c r="A1" s="292" t="s">
        <v>0</v>
      </c>
    </row>
    <row r="2" spans="1:25">
      <c r="A2" s="292" t="str">
        <f>'[1]MOU Summary - 25-26'!A2</f>
        <v>CORE DIVISION : PRATIK  - SUMMARY</v>
      </c>
    </row>
    <row r="3" spans="1:25">
      <c r="A3" s="292" t="s">
        <v>473</v>
      </c>
    </row>
    <row r="5" spans="1:25" s="258" customFormat="1" ht="30">
      <c r="A5" s="290" t="s">
        <v>29</v>
      </c>
      <c r="B5" s="290" t="s">
        <v>30</v>
      </c>
      <c r="C5" s="290" t="s">
        <v>472</v>
      </c>
      <c r="D5" s="290" t="s">
        <v>37</v>
      </c>
      <c r="E5" s="290" t="s">
        <v>471</v>
      </c>
      <c r="F5" s="290" t="s">
        <v>132</v>
      </c>
      <c r="G5" s="290" t="s">
        <v>470</v>
      </c>
      <c r="H5" s="290" t="s">
        <v>469</v>
      </c>
      <c r="I5" s="290" t="s">
        <v>383</v>
      </c>
      <c r="J5" s="290" t="s">
        <v>468</v>
      </c>
      <c r="K5" s="290" t="s">
        <v>467</v>
      </c>
      <c r="L5" s="290" t="s">
        <v>466</v>
      </c>
      <c r="M5" s="290" t="s">
        <v>465</v>
      </c>
      <c r="N5" s="290" t="s">
        <v>464</v>
      </c>
      <c r="O5" s="290" t="s">
        <v>463</v>
      </c>
      <c r="P5" s="290" t="s">
        <v>462</v>
      </c>
      <c r="Q5" s="290" t="s">
        <v>461</v>
      </c>
      <c r="R5" s="290" t="s">
        <v>460</v>
      </c>
      <c r="S5" s="290" t="s">
        <v>43</v>
      </c>
      <c r="T5" s="290" t="s">
        <v>459</v>
      </c>
      <c r="U5" s="290" t="s">
        <v>458</v>
      </c>
      <c r="V5" s="290" t="s">
        <v>457</v>
      </c>
      <c r="W5" s="269" t="s">
        <v>456</v>
      </c>
    </row>
    <row r="6" spans="1:25" s="258" customFormat="1" ht="30">
      <c r="A6" s="290">
        <v>1</v>
      </c>
      <c r="B6" s="275" t="s">
        <v>455</v>
      </c>
      <c r="C6" s="291" t="s">
        <v>454</v>
      </c>
      <c r="D6" s="276" t="s">
        <v>453</v>
      </c>
      <c r="E6" s="275" t="s">
        <v>438</v>
      </c>
      <c r="F6" s="275" t="s">
        <v>452</v>
      </c>
      <c r="G6" s="275"/>
      <c r="H6" s="274" t="s">
        <v>448</v>
      </c>
      <c r="I6" s="274" t="s">
        <v>384</v>
      </c>
      <c r="J6" s="273"/>
      <c r="K6" s="274" t="s">
        <v>424</v>
      </c>
      <c r="L6" s="271" t="s">
        <v>427</v>
      </c>
      <c r="M6" s="270">
        <f>N6</f>
        <v>53</v>
      </c>
      <c r="N6" s="269">
        <v>53</v>
      </c>
      <c r="O6" s="268">
        <f t="shared" ref="O6:O13" si="0">Q6/118*100</f>
        <v>2500</v>
      </c>
      <c r="P6" s="267">
        <f>N6*O6</f>
        <v>132500</v>
      </c>
      <c r="Q6" s="267">
        <v>2950</v>
      </c>
      <c r="R6" s="267">
        <f>N6*Q6</f>
        <v>156350</v>
      </c>
      <c r="S6" s="267">
        <v>0</v>
      </c>
      <c r="T6" s="273"/>
      <c r="U6" s="265">
        <v>0</v>
      </c>
      <c r="V6" s="264">
        <v>0</v>
      </c>
      <c r="W6" s="263"/>
    </row>
    <row r="7" spans="1:25" s="258" customFormat="1" ht="30">
      <c r="A7" s="290">
        <v>2</v>
      </c>
      <c r="B7" s="275" t="s">
        <v>451</v>
      </c>
      <c r="C7" s="276" t="s">
        <v>425</v>
      </c>
      <c r="D7" s="276" t="s">
        <v>359</v>
      </c>
      <c r="E7" s="275" t="s">
        <v>450</v>
      </c>
      <c r="F7" s="275" t="s">
        <v>449</v>
      </c>
      <c r="G7" s="275"/>
      <c r="H7" s="274" t="s">
        <v>448</v>
      </c>
      <c r="I7" s="274" t="s">
        <v>384</v>
      </c>
      <c r="J7" s="273" t="s">
        <v>428</v>
      </c>
      <c r="K7" s="274" t="s">
        <v>424</v>
      </c>
      <c r="L7" s="271" t="s">
        <v>427</v>
      </c>
      <c r="M7" s="270">
        <f>N7</f>
        <v>60</v>
      </c>
      <c r="N7" s="276">
        <v>60</v>
      </c>
      <c r="O7" s="268">
        <f t="shared" si="0"/>
        <v>2500</v>
      </c>
      <c r="P7" s="267">
        <f>N7*O7</f>
        <v>150000</v>
      </c>
      <c r="Q7" s="264">
        <v>2950</v>
      </c>
      <c r="R7" s="267">
        <f>N7*Q7</f>
        <v>177000</v>
      </c>
      <c r="S7" s="267">
        <v>0</v>
      </c>
      <c r="T7" s="273"/>
      <c r="U7" s="265">
        <v>0</v>
      </c>
      <c r="V7" s="264">
        <v>0</v>
      </c>
      <c r="W7" s="263"/>
    </row>
    <row r="8" spans="1:25" ht="30">
      <c r="A8" s="290">
        <v>3</v>
      </c>
      <c r="B8" s="275" t="s">
        <v>447</v>
      </c>
      <c r="C8" s="276" t="s">
        <v>444</v>
      </c>
      <c r="D8" s="276" t="s">
        <v>356</v>
      </c>
      <c r="E8" s="275" t="s">
        <v>438</v>
      </c>
      <c r="F8" s="275" t="s">
        <v>446</v>
      </c>
      <c r="G8" s="275"/>
      <c r="H8" s="274" t="s">
        <v>430</v>
      </c>
      <c r="I8" s="253" t="s">
        <v>442</v>
      </c>
      <c r="J8" s="273" t="s">
        <v>428</v>
      </c>
      <c r="K8" s="274" t="s">
        <v>424</v>
      </c>
      <c r="L8" s="271" t="s">
        <v>427</v>
      </c>
      <c r="M8" s="275">
        <v>56</v>
      </c>
      <c r="N8" s="269">
        <v>56</v>
      </c>
      <c r="O8" s="268">
        <f t="shared" si="0"/>
        <v>2500</v>
      </c>
      <c r="P8" s="267">
        <f>N8*O8</f>
        <v>140000</v>
      </c>
      <c r="Q8" s="264">
        <v>2950</v>
      </c>
      <c r="R8" s="267">
        <f>N8*Q8</f>
        <v>165200</v>
      </c>
      <c r="S8" s="267">
        <v>0</v>
      </c>
      <c r="T8" s="273"/>
      <c r="U8" s="265">
        <v>0</v>
      </c>
      <c r="V8" s="264">
        <v>0</v>
      </c>
      <c r="W8" s="263"/>
      <c r="Y8" s="289"/>
    </row>
    <row r="9" spans="1:25" ht="30">
      <c r="A9" s="274">
        <v>4</v>
      </c>
      <c r="B9" s="275" t="s">
        <v>445</v>
      </c>
      <c r="C9" s="276" t="s">
        <v>444</v>
      </c>
      <c r="D9" s="276" t="s">
        <v>356</v>
      </c>
      <c r="E9" s="275" t="s">
        <v>438</v>
      </c>
      <c r="F9" s="275" t="s">
        <v>443</v>
      </c>
      <c r="G9" s="275"/>
      <c r="H9" s="274" t="s">
        <v>430</v>
      </c>
      <c r="I9" s="253" t="s">
        <v>442</v>
      </c>
      <c r="J9" s="273" t="s">
        <v>428</v>
      </c>
      <c r="K9" s="274" t="s">
        <v>424</v>
      </c>
      <c r="L9" s="271" t="s">
        <v>427</v>
      </c>
      <c r="M9" s="275">
        <v>19</v>
      </c>
      <c r="N9" s="269">
        <v>19</v>
      </c>
      <c r="O9" s="268">
        <f t="shared" si="0"/>
        <v>2500</v>
      </c>
      <c r="P9" s="267">
        <f>N9*O9</f>
        <v>47500</v>
      </c>
      <c r="Q9" s="264">
        <v>2950</v>
      </c>
      <c r="R9" s="267">
        <f>N9*Q9</f>
        <v>56050</v>
      </c>
      <c r="S9" s="267">
        <v>0</v>
      </c>
      <c r="T9" s="273"/>
      <c r="U9" s="265">
        <v>0</v>
      </c>
      <c r="V9" s="264">
        <v>0</v>
      </c>
      <c r="W9" s="263"/>
    </row>
    <row r="10" spans="1:25" ht="30">
      <c r="A10" s="274">
        <v>5</v>
      </c>
      <c r="B10" s="275" t="s">
        <v>441</v>
      </c>
      <c r="C10" s="276" t="s">
        <v>379</v>
      </c>
      <c r="D10" s="276" t="s">
        <v>318</v>
      </c>
      <c r="E10" s="275" t="s">
        <v>438</v>
      </c>
      <c r="F10" s="275"/>
      <c r="G10" s="275"/>
      <c r="H10" s="274" t="s">
        <v>430</v>
      </c>
      <c r="I10" s="253" t="s">
        <v>440</v>
      </c>
      <c r="J10" s="273" t="s">
        <v>428</v>
      </c>
      <c r="K10" s="274" t="s">
        <v>424</v>
      </c>
      <c r="L10" s="271" t="s">
        <v>427</v>
      </c>
      <c r="M10" s="275"/>
      <c r="N10" s="269"/>
      <c r="O10" s="268">
        <f t="shared" si="0"/>
        <v>2500</v>
      </c>
      <c r="P10" s="267"/>
      <c r="Q10" s="264">
        <v>2950</v>
      </c>
      <c r="R10" s="267"/>
      <c r="S10" s="267">
        <f>5900</f>
        <v>5900</v>
      </c>
      <c r="T10" s="273"/>
      <c r="U10" s="265">
        <v>0</v>
      </c>
      <c r="V10" s="264">
        <v>0</v>
      </c>
      <c r="W10" s="263"/>
    </row>
    <row r="11" spans="1:25" ht="30">
      <c r="A11" s="274">
        <v>6</v>
      </c>
      <c r="B11" s="275" t="s">
        <v>439</v>
      </c>
      <c r="C11" s="276" t="s">
        <v>346</v>
      </c>
      <c r="D11" s="276" t="s">
        <v>318</v>
      </c>
      <c r="E11" s="275" t="s">
        <v>438</v>
      </c>
      <c r="F11" s="275" t="s">
        <v>437</v>
      </c>
      <c r="G11" s="275"/>
      <c r="H11" s="274" t="s">
        <v>430</v>
      </c>
      <c r="I11" s="253" t="s">
        <v>436</v>
      </c>
      <c r="J11" s="273" t="s">
        <v>428</v>
      </c>
      <c r="K11" s="274" t="s">
        <v>424</v>
      </c>
      <c r="L11" s="271" t="s">
        <v>427</v>
      </c>
      <c r="M11" s="275">
        <v>345</v>
      </c>
      <c r="N11" s="269">
        <v>345</v>
      </c>
      <c r="O11" s="268">
        <f t="shared" si="0"/>
        <v>2118.6440677966102</v>
      </c>
      <c r="P11" s="267">
        <f>N11*O11</f>
        <v>730932.20338983054</v>
      </c>
      <c r="Q11" s="264">
        <v>2500</v>
      </c>
      <c r="R11" s="267">
        <f>N11*Q11</f>
        <v>862500</v>
      </c>
      <c r="S11" s="267">
        <v>0</v>
      </c>
      <c r="T11" s="273"/>
      <c r="U11" s="265">
        <v>0</v>
      </c>
      <c r="V11" s="264">
        <v>0</v>
      </c>
      <c r="W11" s="263"/>
    </row>
    <row r="12" spans="1:25" ht="30">
      <c r="A12" s="274">
        <v>7</v>
      </c>
      <c r="B12" s="275" t="s">
        <v>435</v>
      </c>
      <c r="C12" s="276" t="s">
        <v>432</v>
      </c>
      <c r="D12" s="276" t="s">
        <v>431</v>
      </c>
      <c r="E12" s="288"/>
      <c r="F12" s="275"/>
      <c r="G12" s="275"/>
      <c r="H12" s="274" t="s">
        <v>430</v>
      </c>
      <c r="I12" s="253" t="s">
        <v>434</v>
      </c>
      <c r="J12" s="273" t="s">
        <v>428</v>
      </c>
      <c r="K12" s="274" t="s">
        <v>424</v>
      </c>
      <c r="L12" s="271" t="s">
        <v>427</v>
      </c>
      <c r="M12" s="275"/>
      <c r="N12" s="269"/>
      <c r="O12" s="268">
        <f t="shared" si="0"/>
        <v>1864.406779661017</v>
      </c>
      <c r="P12" s="267"/>
      <c r="Q12" s="264">
        <v>2200</v>
      </c>
      <c r="R12" s="267"/>
      <c r="S12" s="267">
        <v>0</v>
      </c>
      <c r="T12" s="273"/>
      <c r="U12" s="265">
        <v>0</v>
      </c>
      <c r="V12" s="264">
        <v>0</v>
      </c>
      <c r="W12" s="263"/>
    </row>
    <row r="13" spans="1:25" ht="30">
      <c r="A13" s="286">
        <v>8</v>
      </c>
      <c r="B13" s="284" t="s">
        <v>433</v>
      </c>
      <c r="C13" s="287" t="s">
        <v>432</v>
      </c>
      <c r="D13" s="287" t="s">
        <v>431</v>
      </c>
      <c r="E13" s="284"/>
      <c r="F13" s="284"/>
      <c r="G13" s="284"/>
      <c r="H13" s="286" t="s">
        <v>430</v>
      </c>
      <c r="I13" s="253" t="s">
        <v>429</v>
      </c>
      <c r="J13" s="280" t="s">
        <v>428</v>
      </c>
      <c r="K13" s="286" t="s">
        <v>424</v>
      </c>
      <c r="L13" s="285" t="s">
        <v>427</v>
      </c>
      <c r="M13" s="284"/>
      <c r="N13" s="283"/>
      <c r="O13" s="282">
        <f t="shared" si="0"/>
        <v>1864.406779661017</v>
      </c>
      <c r="P13" s="281"/>
      <c r="Q13" s="278">
        <v>2200</v>
      </c>
      <c r="R13" s="281"/>
      <c r="S13" s="281">
        <v>0</v>
      </c>
      <c r="T13" s="280"/>
      <c r="U13" s="279">
        <v>0</v>
      </c>
      <c r="V13" s="278">
        <v>0</v>
      </c>
      <c r="W13" s="277"/>
    </row>
    <row r="14" spans="1:25">
      <c r="A14" s="274">
        <v>8</v>
      </c>
      <c r="B14" s="275" t="s">
        <v>426</v>
      </c>
      <c r="C14" s="276" t="s">
        <v>425</v>
      </c>
      <c r="D14" s="276" t="s">
        <v>359</v>
      </c>
      <c r="E14" s="275"/>
      <c r="F14" s="275"/>
      <c r="G14" s="275"/>
      <c r="H14" s="274"/>
      <c r="I14" s="274" t="s">
        <v>384</v>
      </c>
      <c r="J14" s="273"/>
      <c r="K14" s="272" t="s">
        <v>424</v>
      </c>
      <c r="L14" s="271"/>
      <c r="M14" s="270">
        <f>N14</f>
        <v>43</v>
      </c>
      <c r="N14" s="269">
        <v>43</v>
      </c>
      <c r="O14" s="268">
        <v>2500</v>
      </c>
      <c r="P14" s="267">
        <f>O14*N14</f>
        <v>107500</v>
      </c>
      <c r="Q14" s="264">
        <v>2950</v>
      </c>
      <c r="R14" s="267">
        <f>N14*Q14</f>
        <v>126850</v>
      </c>
      <c r="S14" s="267">
        <f>R14</f>
        <v>126850</v>
      </c>
      <c r="T14" s="266">
        <v>46146</v>
      </c>
      <c r="U14" s="265"/>
      <c r="V14" s="264"/>
      <c r="W14" s="263"/>
    </row>
    <row r="15" spans="1:25">
      <c r="L15" s="258" t="s">
        <v>375</v>
      </c>
      <c r="M15" s="262">
        <f>SUM(M6:M14)</f>
        <v>576</v>
      </c>
      <c r="N15" s="262">
        <f>SUM(N6:N14)</f>
        <v>576</v>
      </c>
      <c r="P15" s="261">
        <f>SUM(P6:P14)</f>
        <v>1308432.2033898304</v>
      </c>
      <c r="R15" s="261">
        <f>SUM(R6:R14)</f>
        <v>1543950</v>
      </c>
      <c r="S15" s="261">
        <f>SUM(S6:S14)</f>
        <v>132750</v>
      </c>
    </row>
    <row r="16" spans="1:25">
      <c r="R16" s="256"/>
      <c r="S16" s="256"/>
    </row>
    <row r="17" spans="18:19">
      <c r="R17" s="260"/>
      <c r="S17" s="260"/>
    </row>
  </sheetData>
  <hyperlinks>
    <hyperlink ref="I8" r:id="rId1" display="https://maftechnologies-my.sharepoint.com/:b:/g/personal/ujaccounts_getsetlearn_info/IQBI5tZakyGgRKGd7K5Sze7BAV4biLy2g_PgXkYUzsgIVho?e=y9shYc" xr:uid="{FF1619B1-F585-40D1-A0E8-721EAF2B16BB}"/>
    <hyperlink ref="I9" r:id="rId2" display="https://maftechnologies-my.sharepoint.com/:b:/g/personal/ujaccounts_getsetlearn_info/IQBI5tZakyGgRKGd7K5Sze7BAV4biLy2g_PgXkYUzsgIVho?e=y9shYc" xr:uid="{CC0F7594-BDF6-4E59-941A-0B5CCA22376E}"/>
    <hyperlink ref="I10" r:id="rId3" display="https://maftechnologies-my.sharepoint.com/:b:/g/personal/ujaccounts_getsetlearn_info/IQCx8xTlGSKwR7FRpGrAG4iTATieLrHPhRw4x3tlGyZFeCo?e=v4cSCN" xr:uid="{FA3149F8-D3CA-463C-B560-9D93CA172801}"/>
    <hyperlink ref="I11" r:id="rId4" display="https://maftechnologies-my.sharepoint.com/:b:/g/personal/ujaccounts_getsetlearn_info/IQAUKlGhiZZORpfFhgwqyyVUAZmsRWV6j4iNpvRK5qzaIM8?e=0XwHQA" xr:uid="{D42CE01C-AB09-4196-B4D7-0974D732771B}"/>
    <hyperlink ref="I12" r:id="rId5" display="https://maftechnologies-my.sharepoint.com/:b:/g/personal/ujaccounts_getsetlearn_info/IQBpHBEnWg5yRaRb-hARoyesAXv41yqlNXdDL_03UfLINhc?e=IYuEmE" xr:uid="{2BABC3C9-798D-4FE1-8A94-2DFE85F07CE3}"/>
    <hyperlink ref="I13" r:id="rId6" display="https://maftechnologies-my.sharepoint.com/:b:/g/personal/ujaccounts_getsetlearn_info/IQC1D6mLgNiBTaXZx2Lq7pKaASpVq-ry5OnmiCONxWaa4Gg?e=LFZU7s" xr:uid="{BEE4DCA4-F63C-4982-8F17-1589672C4CF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B5386-B888-4EDE-B192-2BA73E80BBBF}">
  <sheetPr codeName="Sheet2"/>
  <dimension ref="A1:U52"/>
  <sheetViews>
    <sheetView workbookViewId="0">
      <pane xSplit="2" ySplit="4" topLeftCell="C45" activePane="bottomRight" state="frozen"/>
      <selection pane="topRight" activeCell="C1" sqref="C1"/>
      <selection pane="bottomLeft" activeCell="A5" sqref="A5"/>
      <selection pane="bottomRight" activeCell="A52" sqref="A52"/>
    </sheetView>
  </sheetViews>
  <sheetFormatPr defaultColWidth="8.7109375" defaultRowHeight="15"/>
  <cols>
    <col min="1" max="1" width="9.7109375" style="1" customWidth="1"/>
    <col min="2" max="2" width="42.140625" style="1" bestFit="1" customWidth="1"/>
    <col min="3" max="3" width="15.85546875" style="1" bestFit="1" customWidth="1"/>
    <col min="4" max="4" width="16.140625" style="1" bestFit="1" customWidth="1"/>
    <col min="5" max="6" width="17.85546875" style="1" bestFit="1" customWidth="1"/>
    <col min="7" max="7" width="17.42578125" style="1" bestFit="1" customWidth="1"/>
    <col min="8" max="8" width="13.28515625" style="1" bestFit="1" customWidth="1"/>
    <col min="9" max="9" width="24.7109375" style="1" bestFit="1" customWidth="1"/>
    <col min="10" max="10" width="12.140625" style="1" bestFit="1" customWidth="1"/>
    <col min="11" max="11" width="12.140625" style="1" customWidth="1"/>
    <col min="12" max="12" width="19.7109375" style="1" bestFit="1" customWidth="1"/>
    <col min="13" max="16384" width="8.7109375" style="1"/>
  </cols>
  <sheetData>
    <row r="1" spans="1:12">
      <c r="A1" s="2" t="s">
        <v>0</v>
      </c>
    </row>
    <row r="2" spans="1:12">
      <c r="A2" s="2" t="s">
        <v>1</v>
      </c>
      <c r="B2" s="3"/>
    </row>
    <row r="3" spans="1:12">
      <c r="A3" s="2"/>
      <c r="B3" s="3"/>
      <c r="I3" s="321" t="s">
        <v>107</v>
      </c>
      <c r="J3" s="321"/>
      <c r="K3" s="6"/>
      <c r="L3" s="6"/>
    </row>
    <row r="4" spans="1:12" ht="45">
      <c r="A4" s="4" t="s">
        <v>29</v>
      </c>
      <c r="B4" s="4" t="s">
        <v>30</v>
      </c>
      <c r="C4" s="4" t="s">
        <v>38</v>
      </c>
      <c r="D4" s="4" t="s">
        <v>39</v>
      </c>
      <c r="E4" s="4" t="s">
        <v>40</v>
      </c>
      <c r="F4" s="4" t="s">
        <v>41</v>
      </c>
      <c r="G4" s="4" t="s">
        <v>42</v>
      </c>
      <c r="H4" s="4" t="s">
        <v>47</v>
      </c>
      <c r="I4" s="4" t="s">
        <v>108</v>
      </c>
      <c r="J4" s="4" t="s">
        <v>46</v>
      </c>
      <c r="K4" s="4"/>
      <c r="L4" s="4" t="s">
        <v>109</v>
      </c>
    </row>
    <row r="5" spans="1:12">
      <c r="A5" s="4">
        <v>1</v>
      </c>
      <c r="B5" s="5" t="s">
        <v>64</v>
      </c>
      <c r="C5" s="5">
        <v>500</v>
      </c>
      <c r="D5" s="11">
        <f>45+46+47+46+49+49+50+47+44+43+46+47</f>
        <v>559</v>
      </c>
      <c r="E5" s="9">
        <v>2500</v>
      </c>
      <c r="F5" s="10">
        <f>E5*1.18</f>
        <v>2950</v>
      </c>
      <c r="G5" s="10">
        <f t="shared" ref="G5:G36" si="0">IFERROR(D5*F5,0)</f>
        <v>1649050</v>
      </c>
      <c r="H5" s="10" t="s">
        <v>110</v>
      </c>
      <c r="I5" s="10" t="s">
        <v>111</v>
      </c>
      <c r="J5" s="10">
        <f>G5*25%</f>
        <v>412262.5</v>
      </c>
      <c r="K5" s="10"/>
      <c r="L5" s="319">
        <f>G5-J5-J6-J7</f>
        <v>412262.5</v>
      </c>
    </row>
    <row r="6" spans="1:12">
      <c r="A6" s="4"/>
      <c r="B6" s="5" t="s">
        <v>64</v>
      </c>
      <c r="C6" s="5">
        <v>500</v>
      </c>
      <c r="D6" s="11">
        <f t="shared" ref="D6:D7" si="1">45+46+47+46+49+49+50+47+44+43+46+47</f>
        <v>559</v>
      </c>
      <c r="E6" s="9">
        <v>2500</v>
      </c>
      <c r="F6" s="10">
        <f t="shared" ref="F6:F7" si="2">E6*1.18</f>
        <v>2950</v>
      </c>
      <c r="G6" s="10">
        <f t="shared" ref="G6:G7" si="3">IFERROR(D6*F6,0)</f>
        <v>1649050</v>
      </c>
      <c r="H6" s="10" t="s">
        <v>250</v>
      </c>
      <c r="I6" s="10" t="s">
        <v>251</v>
      </c>
      <c r="J6" s="10">
        <f t="shared" ref="J6:J7" si="4">G6*25%</f>
        <v>412262.5</v>
      </c>
      <c r="K6" s="10"/>
      <c r="L6" s="325"/>
    </row>
    <row r="7" spans="1:12">
      <c r="A7" s="4"/>
      <c r="B7" s="5" t="s">
        <v>64</v>
      </c>
      <c r="C7" s="5">
        <v>500</v>
      </c>
      <c r="D7" s="11">
        <f t="shared" si="1"/>
        <v>559</v>
      </c>
      <c r="E7" s="9">
        <v>2500</v>
      </c>
      <c r="F7" s="10">
        <f t="shared" si="2"/>
        <v>2950</v>
      </c>
      <c r="G7" s="10">
        <f t="shared" si="3"/>
        <v>1649050</v>
      </c>
      <c r="H7" s="10" t="s">
        <v>250</v>
      </c>
      <c r="I7" s="10" t="s">
        <v>252</v>
      </c>
      <c r="J7" s="10">
        <f t="shared" si="4"/>
        <v>412262.5</v>
      </c>
      <c r="K7" s="10"/>
      <c r="L7" s="320"/>
    </row>
    <row r="8" spans="1:12">
      <c r="A8" s="4">
        <v>1</v>
      </c>
      <c r="B8" s="5" t="s">
        <v>70</v>
      </c>
      <c r="C8" s="5">
        <v>1000</v>
      </c>
      <c r="D8" s="11">
        <v>1048</v>
      </c>
      <c r="E8" s="9">
        <f>2200/118*100</f>
        <v>1864.406779661017</v>
      </c>
      <c r="F8" s="10">
        <f t="shared" ref="F8:F22" si="5">E8*1.18</f>
        <v>2200</v>
      </c>
      <c r="G8" s="10">
        <f t="shared" si="0"/>
        <v>2305600</v>
      </c>
      <c r="H8" s="10" t="s">
        <v>110</v>
      </c>
      <c r="I8" s="10" t="s">
        <v>112</v>
      </c>
      <c r="J8" s="10">
        <f>G8*100%</f>
        <v>2305600</v>
      </c>
      <c r="K8" s="10"/>
      <c r="L8" s="10">
        <f t="shared" ref="L8:L40" si="6">G8-J8</f>
        <v>0</v>
      </c>
    </row>
    <row r="9" spans="1:12">
      <c r="A9" s="4">
        <f t="shared" ref="A9:A31" si="7">A8+1</f>
        <v>2</v>
      </c>
      <c r="B9" s="5" t="s">
        <v>72</v>
      </c>
      <c r="C9" s="5">
        <v>1000</v>
      </c>
      <c r="D9" s="11">
        <v>960</v>
      </c>
      <c r="E9" s="9">
        <f>2200/118*100</f>
        <v>1864.406779661017</v>
      </c>
      <c r="F9" s="10">
        <f t="shared" si="5"/>
        <v>2200</v>
      </c>
      <c r="G9" s="10">
        <f t="shared" si="0"/>
        <v>2112000</v>
      </c>
      <c r="H9" s="10" t="s">
        <v>110</v>
      </c>
      <c r="I9" s="10" t="s">
        <v>113</v>
      </c>
      <c r="J9" s="10">
        <f>G9*100%</f>
        <v>2112000</v>
      </c>
      <c r="K9" s="10"/>
      <c r="L9" s="10">
        <f t="shared" si="6"/>
        <v>0</v>
      </c>
    </row>
    <row r="10" spans="1:12">
      <c r="A10" s="4">
        <f t="shared" si="7"/>
        <v>3</v>
      </c>
      <c r="B10" s="5" t="s">
        <v>81</v>
      </c>
      <c r="C10" s="10">
        <v>200</v>
      </c>
      <c r="D10" s="11">
        <v>177</v>
      </c>
      <c r="E10" s="30">
        <f>2360/118*100</f>
        <v>2000</v>
      </c>
      <c r="F10" s="10">
        <f t="shared" si="5"/>
        <v>2360</v>
      </c>
      <c r="G10" s="10">
        <f t="shared" si="0"/>
        <v>417720</v>
      </c>
      <c r="H10" s="10" t="s">
        <v>110</v>
      </c>
      <c r="I10" s="10" t="s">
        <v>114</v>
      </c>
      <c r="J10" s="10">
        <f>G10*50%</f>
        <v>208860</v>
      </c>
      <c r="K10" s="10"/>
      <c r="L10" s="10">
        <f t="shared" si="6"/>
        <v>208860</v>
      </c>
    </row>
    <row r="11" spans="1:12">
      <c r="A11" s="4"/>
      <c r="B11" s="5" t="s">
        <v>81</v>
      </c>
      <c r="C11" s="10">
        <v>200</v>
      </c>
      <c r="D11" s="11">
        <v>47</v>
      </c>
      <c r="E11" s="30">
        <f>2360/118*100</f>
        <v>2000</v>
      </c>
      <c r="F11" s="10">
        <f>E11*1.18</f>
        <v>2360</v>
      </c>
      <c r="G11" s="10">
        <f t="shared" si="0"/>
        <v>110920</v>
      </c>
      <c r="H11" s="10" t="s">
        <v>115</v>
      </c>
      <c r="I11" s="10" t="s">
        <v>116</v>
      </c>
      <c r="J11" s="10">
        <f>G11*50%</f>
        <v>55460</v>
      </c>
      <c r="K11" s="10"/>
      <c r="L11" s="10">
        <f t="shared" si="6"/>
        <v>55460</v>
      </c>
    </row>
    <row r="12" spans="1:12">
      <c r="A12" s="4">
        <f>A10+1</f>
        <v>4</v>
      </c>
      <c r="B12" s="5" t="s">
        <v>82</v>
      </c>
      <c r="C12" s="10">
        <v>350</v>
      </c>
      <c r="D12" s="11">
        <v>363</v>
      </c>
      <c r="E12" s="30">
        <f>2124/118*100</f>
        <v>1800</v>
      </c>
      <c r="F12" s="10">
        <f t="shared" si="5"/>
        <v>2124</v>
      </c>
      <c r="G12" s="10">
        <f t="shared" si="0"/>
        <v>771012</v>
      </c>
      <c r="H12" s="10" t="s">
        <v>110</v>
      </c>
      <c r="I12" s="10" t="s">
        <v>117</v>
      </c>
      <c r="J12" s="10">
        <f>G12*10%</f>
        <v>77101.2</v>
      </c>
      <c r="K12" s="10"/>
      <c r="L12" s="319">
        <f>G12-J12-J13</f>
        <v>385506.00000000006</v>
      </c>
    </row>
    <row r="13" spans="1:12">
      <c r="A13" s="4"/>
      <c r="B13" s="5" t="s">
        <v>82</v>
      </c>
      <c r="C13" s="10">
        <v>350</v>
      </c>
      <c r="D13" s="11">
        <v>363</v>
      </c>
      <c r="E13" s="30">
        <f>2124/118*100</f>
        <v>1800</v>
      </c>
      <c r="F13" s="10">
        <f t="shared" ref="F13" si="8">E13*1.18</f>
        <v>2124</v>
      </c>
      <c r="G13" s="10">
        <f t="shared" ref="G13" si="9">IFERROR(D13*F13,0)</f>
        <v>771012</v>
      </c>
      <c r="H13" s="10" t="s">
        <v>210</v>
      </c>
      <c r="I13" s="10" t="s">
        <v>231</v>
      </c>
      <c r="J13" s="10">
        <f>G13*40%</f>
        <v>308404.8</v>
      </c>
      <c r="K13" s="10"/>
      <c r="L13" s="320"/>
    </row>
    <row r="14" spans="1:12">
      <c r="A14" s="4">
        <f>A12+1</f>
        <v>5</v>
      </c>
      <c r="B14" s="5" t="s">
        <v>87</v>
      </c>
      <c r="C14" s="10">
        <v>250</v>
      </c>
      <c r="D14" s="11">
        <v>191</v>
      </c>
      <c r="E14" s="30">
        <f>2500/118*100</f>
        <v>2118.6440677966102</v>
      </c>
      <c r="F14" s="10">
        <f t="shared" si="5"/>
        <v>2500</v>
      </c>
      <c r="G14" s="10">
        <f t="shared" si="0"/>
        <v>477500</v>
      </c>
      <c r="H14" s="10" t="s">
        <v>110</v>
      </c>
      <c r="I14" s="10" t="s">
        <v>118</v>
      </c>
      <c r="J14" s="10">
        <f>G14*50%</f>
        <v>238750</v>
      </c>
      <c r="K14" s="10"/>
      <c r="L14" s="10">
        <f t="shared" si="6"/>
        <v>238750</v>
      </c>
    </row>
    <row r="15" spans="1:12">
      <c r="A15" s="4">
        <f t="shared" si="7"/>
        <v>6</v>
      </c>
      <c r="B15" s="5" t="s">
        <v>88</v>
      </c>
      <c r="C15" s="10">
        <v>450</v>
      </c>
      <c r="D15" s="5">
        <f>162+156+120</f>
        <v>438</v>
      </c>
      <c r="E15" s="30">
        <f>1200/118*100</f>
        <v>1016.9491525423729</v>
      </c>
      <c r="F15" s="10">
        <f t="shared" si="5"/>
        <v>1200</v>
      </c>
      <c r="G15" s="10">
        <f t="shared" si="0"/>
        <v>525600</v>
      </c>
      <c r="H15" s="10" t="s">
        <v>110</v>
      </c>
      <c r="I15" s="10" t="s">
        <v>119</v>
      </c>
      <c r="J15" s="10">
        <f>G15*25%+1</f>
        <v>131401</v>
      </c>
      <c r="K15" s="10"/>
      <c r="L15" s="319">
        <f>G15-J15-J16-J17</f>
        <v>131397</v>
      </c>
    </row>
    <row r="16" spans="1:12">
      <c r="A16" s="4"/>
      <c r="B16" s="5" t="s">
        <v>88</v>
      </c>
      <c r="C16" s="10">
        <v>450</v>
      </c>
      <c r="D16" s="5">
        <f t="shared" ref="D16:D17" si="10">162+156+120</f>
        <v>438</v>
      </c>
      <c r="E16" s="30">
        <f t="shared" ref="E16:E17" si="11">1200/118*100</f>
        <v>1016.9491525423729</v>
      </c>
      <c r="F16" s="10">
        <f t="shared" ref="F16:F17" si="12">E16*1.18</f>
        <v>1200</v>
      </c>
      <c r="G16" s="10">
        <f t="shared" ref="G16:G17" si="13">IFERROR(D16*F16,0)</f>
        <v>525600</v>
      </c>
      <c r="H16" s="10" t="s">
        <v>243</v>
      </c>
      <c r="I16" s="10" t="s">
        <v>248</v>
      </c>
      <c r="J16" s="10">
        <f t="shared" ref="J16:J17" si="14">G16*25%+1</f>
        <v>131401</v>
      </c>
      <c r="K16" s="10"/>
      <c r="L16" s="325"/>
    </row>
    <row r="17" spans="1:21">
      <c r="A17" s="4"/>
      <c r="B17" s="5" t="s">
        <v>88</v>
      </c>
      <c r="C17" s="10">
        <v>450</v>
      </c>
      <c r="D17" s="5">
        <f t="shared" si="10"/>
        <v>438</v>
      </c>
      <c r="E17" s="30">
        <f t="shared" si="11"/>
        <v>1016.9491525423729</v>
      </c>
      <c r="F17" s="10">
        <f t="shared" si="12"/>
        <v>1200</v>
      </c>
      <c r="G17" s="10">
        <f t="shared" si="13"/>
        <v>525600</v>
      </c>
      <c r="H17" s="10" t="s">
        <v>243</v>
      </c>
      <c r="I17" s="10" t="s">
        <v>249</v>
      </c>
      <c r="J17" s="10">
        <f t="shared" si="14"/>
        <v>131401</v>
      </c>
      <c r="K17" s="10"/>
      <c r="L17" s="320"/>
    </row>
    <row r="18" spans="1:21">
      <c r="A18" s="4">
        <f>A15+1</f>
        <v>7</v>
      </c>
      <c r="B18" s="5" t="s">
        <v>91</v>
      </c>
      <c r="C18" s="10">
        <v>50</v>
      </c>
      <c r="D18" s="5">
        <v>40</v>
      </c>
      <c r="E18" s="30">
        <v>2542.37</v>
      </c>
      <c r="F18" s="10">
        <f t="shared" si="5"/>
        <v>2999.9965999999995</v>
      </c>
      <c r="G18" s="10">
        <f t="shared" si="0"/>
        <v>119999.86399999997</v>
      </c>
      <c r="H18" s="10" t="s">
        <v>110</v>
      </c>
      <c r="I18" s="10" t="s">
        <v>120</v>
      </c>
      <c r="J18" s="10">
        <f>G18*100%</f>
        <v>119999.86399999997</v>
      </c>
      <c r="K18" s="10"/>
      <c r="L18" s="10">
        <f t="shared" si="6"/>
        <v>0</v>
      </c>
    </row>
    <row r="19" spans="1:21">
      <c r="A19" s="4"/>
      <c r="B19" s="5" t="s">
        <v>91</v>
      </c>
      <c r="C19" s="10">
        <v>0</v>
      </c>
      <c r="D19" s="5">
        <v>1</v>
      </c>
      <c r="E19" s="30">
        <v>2542.37</v>
      </c>
      <c r="F19" s="10">
        <f t="shared" ref="F19" si="15">E19*1.18</f>
        <v>2999.9965999999995</v>
      </c>
      <c r="G19" s="10">
        <f t="shared" ref="G19" si="16">IFERROR(D19*F19,0)</f>
        <v>2999.9965999999995</v>
      </c>
      <c r="H19" s="10" t="s">
        <v>110</v>
      </c>
      <c r="I19" s="10" t="s">
        <v>121</v>
      </c>
      <c r="J19" s="10">
        <f>G19*100%</f>
        <v>2999.9965999999995</v>
      </c>
      <c r="K19" s="10"/>
      <c r="L19" s="10">
        <f t="shared" si="6"/>
        <v>0</v>
      </c>
    </row>
    <row r="20" spans="1:21">
      <c r="A20" s="4">
        <f>A18+1</f>
        <v>8</v>
      </c>
      <c r="B20" s="5" t="s">
        <v>92</v>
      </c>
      <c r="C20" s="10">
        <v>10</v>
      </c>
      <c r="D20" s="5">
        <v>11</v>
      </c>
      <c r="E20" s="30">
        <f>2500/118*100</f>
        <v>2118.6440677966102</v>
      </c>
      <c r="F20" s="10">
        <f t="shared" si="5"/>
        <v>2500</v>
      </c>
      <c r="G20" s="10">
        <f t="shared" si="0"/>
        <v>27500</v>
      </c>
      <c r="H20" s="10" t="s">
        <v>110</v>
      </c>
      <c r="I20" s="322" t="s">
        <v>122</v>
      </c>
      <c r="J20" s="10">
        <f t="shared" ref="J20:J21" si="17">G20*100%</f>
        <v>27500</v>
      </c>
      <c r="K20" s="10"/>
      <c r="L20" s="10">
        <f t="shared" si="6"/>
        <v>0</v>
      </c>
    </row>
    <row r="21" spans="1:21">
      <c r="A21" s="4">
        <f t="shared" si="7"/>
        <v>9</v>
      </c>
      <c r="B21" s="5" t="s">
        <v>93</v>
      </c>
      <c r="C21" s="10">
        <v>60</v>
      </c>
      <c r="D21" s="5">
        <v>67</v>
      </c>
      <c r="E21" s="30">
        <f>2360/118*100</f>
        <v>2000</v>
      </c>
      <c r="F21" s="10">
        <f t="shared" si="5"/>
        <v>2360</v>
      </c>
      <c r="G21" s="10">
        <f t="shared" si="0"/>
        <v>158120</v>
      </c>
      <c r="H21" s="10" t="s">
        <v>110</v>
      </c>
      <c r="I21" s="322"/>
      <c r="J21" s="10">
        <f t="shared" si="17"/>
        <v>158120</v>
      </c>
      <c r="K21" s="10"/>
      <c r="L21" s="10">
        <f t="shared" si="6"/>
        <v>0</v>
      </c>
    </row>
    <row r="22" spans="1:21">
      <c r="A22" s="4">
        <f t="shared" si="7"/>
        <v>10</v>
      </c>
      <c r="B22" s="5" t="s">
        <v>94</v>
      </c>
      <c r="C22" s="10">
        <v>385</v>
      </c>
      <c r="D22" s="10">
        <v>670</v>
      </c>
      <c r="E22" s="30">
        <f>1725/118*100</f>
        <v>1461.8644067796611</v>
      </c>
      <c r="F22" s="10">
        <f t="shared" si="5"/>
        <v>1725</v>
      </c>
      <c r="G22" s="10">
        <f>IFERROR(D22*F22,0)</f>
        <v>1155750</v>
      </c>
      <c r="H22" s="10" t="s">
        <v>110</v>
      </c>
      <c r="I22" s="10" t="s">
        <v>123</v>
      </c>
      <c r="J22" s="10">
        <v>664125</v>
      </c>
      <c r="K22" s="10"/>
      <c r="L22" s="10">
        <f t="shared" si="6"/>
        <v>491625</v>
      </c>
    </row>
    <row r="23" spans="1:21">
      <c r="A23" s="4">
        <f t="shared" si="7"/>
        <v>11</v>
      </c>
      <c r="B23" s="5" t="s">
        <v>89</v>
      </c>
      <c r="C23" s="5">
        <v>0</v>
      </c>
      <c r="D23" s="8">
        <v>183</v>
      </c>
      <c r="E23" s="41">
        <f>1200/118*100</f>
        <v>1016.9491525423729</v>
      </c>
      <c r="F23" s="10">
        <f t="shared" ref="F23" si="18">E23*1.18</f>
        <v>1200</v>
      </c>
      <c r="G23" s="10">
        <f t="shared" si="0"/>
        <v>219600</v>
      </c>
      <c r="H23" s="50" t="s">
        <v>115</v>
      </c>
      <c r="I23" s="10" t="s">
        <v>124</v>
      </c>
      <c r="J23" s="5">
        <v>109800</v>
      </c>
      <c r="K23" s="5"/>
      <c r="L23" s="10">
        <f t="shared" si="6"/>
        <v>109800</v>
      </c>
    </row>
    <row r="24" spans="1:21">
      <c r="A24" s="4">
        <f t="shared" si="7"/>
        <v>12</v>
      </c>
      <c r="B24" s="40" t="s">
        <v>182</v>
      </c>
      <c r="C24" s="5">
        <v>0</v>
      </c>
      <c r="D24" s="8">
        <v>26</v>
      </c>
      <c r="E24" s="5">
        <v>2542.37</v>
      </c>
      <c r="F24" s="5">
        <v>3000</v>
      </c>
      <c r="G24" s="10">
        <f t="shared" si="0"/>
        <v>78000</v>
      </c>
      <c r="H24" s="51" t="s">
        <v>125</v>
      </c>
      <c r="I24" s="10" t="s">
        <v>126</v>
      </c>
      <c r="J24" s="5">
        <v>78000</v>
      </c>
      <c r="K24" s="5"/>
      <c r="L24" s="10">
        <f t="shared" si="6"/>
        <v>0</v>
      </c>
    </row>
    <row r="25" spans="1:21">
      <c r="A25" s="4">
        <f t="shared" si="7"/>
        <v>13</v>
      </c>
      <c r="B25" s="5" t="s">
        <v>52</v>
      </c>
      <c r="C25" s="5">
        <v>420</v>
      </c>
      <c r="D25" s="8">
        <v>420</v>
      </c>
      <c r="E25" s="44">
        <v>2000</v>
      </c>
      <c r="F25" s="45">
        <f t="shared" ref="F25:F29" si="19">E25*1.18</f>
        <v>2360</v>
      </c>
      <c r="G25" s="10">
        <f t="shared" si="0"/>
        <v>991200</v>
      </c>
      <c r="H25" s="51" t="s">
        <v>125</v>
      </c>
      <c r="I25" s="10" t="s">
        <v>127</v>
      </c>
      <c r="J25" s="13">
        <f>'STEAM 2026-27PD '!Z12</f>
        <v>346300.5</v>
      </c>
      <c r="K25" s="13"/>
      <c r="L25" s="10">
        <f t="shared" si="6"/>
        <v>644899.5</v>
      </c>
      <c r="M25" s="48"/>
      <c r="N25" s="25"/>
      <c r="O25" s="24"/>
      <c r="P25" s="49"/>
      <c r="Q25" s="24"/>
      <c r="R25" s="24"/>
      <c r="S25" s="24"/>
      <c r="T25" s="24"/>
      <c r="U25" s="24"/>
    </row>
    <row r="26" spans="1:21">
      <c r="A26" s="4">
        <f t="shared" si="7"/>
        <v>14</v>
      </c>
      <c r="B26" s="5" t="s">
        <v>73</v>
      </c>
      <c r="C26" s="5">
        <v>271</v>
      </c>
      <c r="D26" s="8">
        <v>270</v>
      </c>
      <c r="E26" s="45">
        <v>1800</v>
      </c>
      <c r="F26" s="45">
        <f t="shared" si="19"/>
        <v>2124</v>
      </c>
      <c r="G26" s="10">
        <f t="shared" si="0"/>
        <v>573480</v>
      </c>
      <c r="H26" s="51" t="s">
        <v>125</v>
      </c>
      <c r="I26" s="10" t="s">
        <v>128</v>
      </c>
      <c r="J26" s="13">
        <f>G26</f>
        <v>573480</v>
      </c>
      <c r="K26" s="5"/>
      <c r="L26" s="10">
        <f t="shared" si="6"/>
        <v>0</v>
      </c>
    </row>
    <row r="27" spans="1:21">
      <c r="A27" s="4">
        <f t="shared" si="7"/>
        <v>15</v>
      </c>
      <c r="B27" s="5" t="s">
        <v>74</v>
      </c>
      <c r="C27" s="5">
        <v>476</v>
      </c>
      <c r="D27" s="40">
        <v>474</v>
      </c>
      <c r="E27" s="45">
        <v>1800</v>
      </c>
      <c r="F27" s="45">
        <f t="shared" si="19"/>
        <v>2124</v>
      </c>
      <c r="G27" s="10">
        <f t="shared" si="0"/>
        <v>1006776</v>
      </c>
      <c r="H27" s="51" t="s">
        <v>125</v>
      </c>
      <c r="I27" s="10" t="s">
        <v>129</v>
      </c>
      <c r="J27" s="13">
        <f>G27</f>
        <v>1006776</v>
      </c>
      <c r="K27" s="5"/>
      <c r="L27" s="10">
        <f t="shared" si="6"/>
        <v>0</v>
      </c>
    </row>
    <row r="28" spans="1:21">
      <c r="A28" s="4">
        <f t="shared" si="7"/>
        <v>16</v>
      </c>
      <c r="B28" s="5" t="s">
        <v>76</v>
      </c>
      <c r="C28" s="5">
        <v>592</v>
      </c>
      <c r="D28" s="40">
        <v>589</v>
      </c>
      <c r="E28" s="45">
        <v>1800</v>
      </c>
      <c r="F28" s="45">
        <f t="shared" si="19"/>
        <v>2124</v>
      </c>
      <c r="G28" s="10">
        <f t="shared" si="0"/>
        <v>1251036</v>
      </c>
      <c r="H28" s="51" t="s">
        <v>125</v>
      </c>
      <c r="I28" s="10" t="s">
        <v>130</v>
      </c>
      <c r="J28" s="13">
        <f>G28</f>
        <v>1251036</v>
      </c>
      <c r="K28" s="5"/>
      <c r="L28" s="10">
        <f t="shared" si="6"/>
        <v>0</v>
      </c>
    </row>
    <row r="29" spans="1:21">
      <c r="A29" s="4">
        <f t="shared" si="7"/>
        <v>17</v>
      </c>
      <c r="B29" s="5" t="s">
        <v>78</v>
      </c>
      <c r="C29" s="5">
        <v>232</v>
      </c>
      <c r="D29" s="40">
        <v>239</v>
      </c>
      <c r="E29" s="45">
        <v>1800</v>
      </c>
      <c r="F29" s="45">
        <f t="shared" si="19"/>
        <v>2124</v>
      </c>
      <c r="G29" s="10">
        <f t="shared" si="0"/>
        <v>507636</v>
      </c>
      <c r="H29" s="51" t="s">
        <v>125</v>
      </c>
      <c r="I29" s="10" t="s">
        <v>131</v>
      </c>
      <c r="J29" s="13">
        <f>G29</f>
        <v>507636</v>
      </c>
      <c r="K29" s="5"/>
      <c r="L29" s="10">
        <f t="shared" si="6"/>
        <v>0</v>
      </c>
    </row>
    <row r="30" spans="1:21">
      <c r="A30" s="4">
        <f t="shared" si="7"/>
        <v>18</v>
      </c>
      <c r="B30" s="5" t="s">
        <v>84</v>
      </c>
      <c r="C30" s="10">
        <v>400</v>
      </c>
      <c r="D30" s="47">
        <v>343</v>
      </c>
      <c r="E30" s="45">
        <v>2000</v>
      </c>
      <c r="F30" s="45">
        <f t="shared" ref="F30" si="20">E30*1.18</f>
        <v>2360</v>
      </c>
      <c r="G30" s="10">
        <f t="shared" si="0"/>
        <v>809480</v>
      </c>
      <c r="H30" s="5" t="s">
        <v>140</v>
      </c>
      <c r="I30" s="10" t="s">
        <v>141</v>
      </c>
      <c r="J30" s="71">
        <v>202370</v>
      </c>
      <c r="K30" s="5"/>
      <c r="L30" s="10">
        <f t="shared" si="6"/>
        <v>607110</v>
      </c>
      <c r="N30" s="24"/>
      <c r="O30" s="24"/>
      <c r="P30" s="65"/>
      <c r="Q30" s="25"/>
      <c r="R30" s="24"/>
      <c r="S30" s="66"/>
    </row>
    <row r="31" spans="1:21">
      <c r="A31" s="4">
        <f t="shared" si="7"/>
        <v>19</v>
      </c>
      <c r="B31" s="5" t="s">
        <v>85</v>
      </c>
      <c r="C31" s="10">
        <v>800</v>
      </c>
      <c r="D31" s="47">
        <v>796</v>
      </c>
      <c r="E31" s="45">
        <f>1200/118*100</f>
        <v>1016.9491525423729</v>
      </c>
      <c r="F31" s="45">
        <f t="shared" ref="F31" si="21">E31*1.18</f>
        <v>1200</v>
      </c>
      <c r="G31" s="10">
        <f t="shared" si="0"/>
        <v>955200</v>
      </c>
      <c r="H31" s="5" t="s">
        <v>140</v>
      </c>
      <c r="I31" s="69" t="s">
        <v>142</v>
      </c>
      <c r="J31" s="5">
        <v>318400</v>
      </c>
      <c r="K31" s="70"/>
      <c r="L31" s="323">
        <f>G31-J31-J32</f>
        <v>318400</v>
      </c>
      <c r="N31" s="24"/>
      <c r="O31" s="24"/>
      <c r="P31" s="65"/>
      <c r="Q31" s="67"/>
      <c r="R31" s="24"/>
      <c r="S31" s="68"/>
    </row>
    <row r="32" spans="1:21">
      <c r="A32" s="4"/>
      <c r="B32" s="5" t="s">
        <v>85</v>
      </c>
      <c r="C32" s="10">
        <v>800</v>
      </c>
      <c r="D32" s="47">
        <v>796</v>
      </c>
      <c r="E32" s="45">
        <f>1200/118*100</f>
        <v>1016.9491525423729</v>
      </c>
      <c r="F32" s="45">
        <f t="shared" ref="F32" si="22">E32*1.18</f>
        <v>1200</v>
      </c>
      <c r="G32" s="10">
        <f t="shared" ref="G32" si="23">IFERROR(D32*F32,0)</f>
        <v>955200</v>
      </c>
      <c r="H32" s="5" t="s">
        <v>140</v>
      </c>
      <c r="I32" s="69" t="s">
        <v>234</v>
      </c>
      <c r="J32" s="5">
        <v>318400</v>
      </c>
      <c r="K32" s="70"/>
      <c r="L32" s="324"/>
      <c r="N32" s="24"/>
      <c r="O32" s="24"/>
      <c r="P32" s="65"/>
      <c r="Q32" s="67"/>
      <c r="R32" s="24"/>
      <c r="S32" s="68"/>
    </row>
    <row r="33" spans="1:20">
      <c r="A33" s="39">
        <f>A31+1</f>
        <v>20</v>
      </c>
      <c r="B33" s="40" t="s">
        <v>153</v>
      </c>
      <c r="C33" s="74">
        <v>1</v>
      </c>
      <c r="D33" s="74">
        <v>4</v>
      </c>
      <c r="E33" s="75">
        <v>2524.37</v>
      </c>
      <c r="F33" s="76">
        <v>3000</v>
      </c>
      <c r="G33" s="10">
        <f t="shared" si="0"/>
        <v>12000</v>
      </c>
      <c r="H33" s="5" t="s">
        <v>140</v>
      </c>
      <c r="I33" s="69" t="s">
        <v>154</v>
      </c>
      <c r="J33" s="5">
        <v>12000</v>
      </c>
      <c r="K33" s="8"/>
      <c r="L33" s="10">
        <f t="shared" si="6"/>
        <v>0</v>
      </c>
      <c r="M33" s="77"/>
      <c r="N33" s="24"/>
      <c r="P33" s="14"/>
      <c r="Q33" s="25"/>
      <c r="R33" s="24"/>
      <c r="S33" s="14"/>
    </row>
    <row r="34" spans="1:20">
      <c r="A34" s="39">
        <f>A33+1</f>
        <v>21</v>
      </c>
      <c r="B34" s="5" t="s">
        <v>95</v>
      </c>
      <c r="C34" s="5"/>
      <c r="D34" s="5">
        <v>342</v>
      </c>
      <c r="E34" s="45">
        <f>F34*100/118</f>
        <v>1220.3389830508474</v>
      </c>
      <c r="F34" s="5">
        <v>1440</v>
      </c>
      <c r="G34" s="5">
        <f t="shared" si="0"/>
        <v>492480</v>
      </c>
      <c r="H34" s="5" t="s">
        <v>140</v>
      </c>
      <c r="I34" s="10" t="s">
        <v>185</v>
      </c>
      <c r="J34" s="5">
        <v>123120</v>
      </c>
      <c r="K34" s="8"/>
      <c r="L34" s="319">
        <f>G34-J34-J35</f>
        <v>203320</v>
      </c>
    </row>
    <row r="35" spans="1:20">
      <c r="A35" s="39"/>
      <c r="B35" s="5" t="s">
        <v>95</v>
      </c>
      <c r="C35" s="5"/>
      <c r="D35" s="5">
        <v>342</v>
      </c>
      <c r="E35" s="45">
        <f>F35*100/118</f>
        <v>1220.3389830508474</v>
      </c>
      <c r="F35" s="5">
        <v>1440</v>
      </c>
      <c r="G35" s="5">
        <f>IFERROR(D35*F35,0)</f>
        <v>492480</v>
      </c>
      <c r="H35" s="5" t="s">
        <v>140</v>
      </c>
      <c r="I35" s="10" t="s">
        <v>227</v>
      </c>
      <c r="J35" s="5">
        <v>166040</v>
      </c>
      <c r="K35" s="5"/>
      <c r="L35" s="320"/>
    </row>
    <row r="36" spans="1:20">
      <c r="A36" s="39">
        <f>A34+1</f>
        <v>22</v>
      </c>
      <c r="B36" s="40" t="s">
        <v>102</v>
      </c>
      <c r="C36" s="5"/>
      <c r="D36" s="5">
        <v>31</v>
      </c>
      <c r="E36" s="45">
        <f>F36*100/118</f>
        <v>1016.9491525423729</v>
      </c>
      <c r="F36" s="5">
        <v>1200</v>
      </c>
      <c r="G36" s="5">
        <f t="shared" si="0"/>
        <v>37200</v>
      </c>
      <c r="H36" s="5" t="s">
        <v>140</v>
      </c>
      <c r="I36" s="10" t="s">
        <v>186</v>
      </c>
      <c r="J36" s="5">
        <v>18600</v>
      </c>
      <c r="K36" s="5"/>
      <c r="L36" s="10">
        <f t="shared" si="6"/>
        <v>18600</v>
      </c>
    </row>
    <row r="37" spans="1:20">
      <c r="A37" s="39">
        <f t="shared" ref="A37:A50" si="24">A36+1</f>
        <v>23</v>
      </c>
      <c r="B37" s="5" t="s">
        <v>59</v>
      </c>
      <c r="C37" s="5">
        <v>540</v>
      </c>
      <c r="D37" s="11">
        <v>531</v>
      </c>
      <c r="E37" s="44">
        <v>2700</v>
      </c>
      <c r="F37" s="45">
        <f t="shared" ref="F37" si="25">E37*1.18</f>
        <v>3186</v>
      </c>
      <c r="G37" s="10">
        <f t="shared" ref="G37" si="26">IFERROR(D37*F37,0)</f>
        <v>1691766</v>
      </c>
      <c r="H37" s="5" t="s">
        <v>210</v>
      </c>
      <c r="I37" s="10" t="s">
        <v>211</v>
      </c>
      <c r="J37" s="5">
        <v>422942</v>
      </c>
      <c r="K37" s="5"/>
      <c r="L37" s="323">
        <f>G37-J37-J38</f>
        <v>845882</v>
      </c>
      <c r="P37" s="65"/>
      <c r="Q37" s="25"/>
      <c r="R37" s="24"/>
      <c r="S37" s="114"/>
    </row>
    <row r="38" spans="1:20">
      <c r="A38" s="39"/>
      <c r="B38" s="5" t="s">
        <v>59</v>
      </c>
      <c r="C38" s="5">
        <v>540</v>
      </c>
      <c r="D38" s="11">
        <v>531</v>
      </c>
      <c r="E38" s="44">
        <v>2700</v>
      </c>
      <c r="F38" s="45">
        <f t="shared" ref="F38" si="27">E38*1.18</f>
        <v>3186</v>
      </c>
      <c r="G38" s="10">
        <f t="shared" ref="G38" si="28">IFERROR(D38*F38,0)</f>
        <v>1691766</v>
      </c>
      <c r="H38" s="5" t="s">
        <v>243</v>
      </c>
      <c r="I38" s="10" t="s">
        <v>244</v>
      </c>
      <c r="J38" s="5">
        <v>422942</v>
      </c>
      <c r="K38" s="5"/>
      <c r="L38" s="324"/>
      <c r="P38" s="65"/>
      <c r="Q38" s="25"/>
      <c r="R38" s="24"/>
      <c r="S38" s="114"/>
    </row>
    <row r="39" spans="1:20">
      <c r="A39" s="39">
        <f>A37+1</f>
        <v>24</v>
      </c>
      <c r="B39" s="5" t="s">
        <v>136</v>
      </c>
      <c r="C39" s="5">
        <v>10</v>
      </c>
      <c r="D39" s="5">
        <v>10</v>
      </c>
      <c r="E39" s="5">
        <v>2118.64</v>
      </c>
      <c r="F39" s="5">
        <v>2500</v>
      </c>
      <c r="G39" s="5">
        <f>IFERROR(D39*F39,0)</f>
        <v>25000</v>
      </c>
      <c r="H39" s="5" t="s">
        <v>210</v>
      </c>
      <c r="I39" s="10" t="s">
        <v>212</v>
      </c>
      <c r="J39" s="113">
        <v>25000</v>
      </c>
      <c r="K39" s="13"/>
      <c r="L39" s="10">
        <f t="shared" si="6"/>
        <v>0</v>
      </c>
      <c r="M39" s="65"/>
    </row>
    <row r="40" spans="1:20">
      <c r="A40" s="39">
        <f t="shared" si="24"/>
        <v>25</v>
      </c>
      <c r="B40" s="5" t="s">
        <v>182</v>
      </c>
      <c r="C40" s="5">
        <v>162</v>
      </c>
      <c r="D40" s="5">
        <v>83</v>
      </c>
      <c r="E40" s="5">
        <v>1016.95</v>
      </c>
      <c r="F40" s="5">
        <v>1200</v>
      </c>
      <c r="G40" s="10">
        <f>IFERROR(D40*F40,0)</f>
        <v>99600</v>
      </c>
      <c r="H40" s="5" t="s">
        <v>210</v>
      </c>
      <c r="I40" s="10" t="s">
        <v>213</v>
      </c>
      <c r="J40" s="113">
        <v>25000</v>
      </c>
      <c r="K40" s="13"/>
      <c r="L40" s="10">
        <f t="shared" si="6"/>
        <v>74600</v>
      </c>
      <c r="Q40" s="25"/>
      <c r="R40" s="24"/>
      <c r="S40" s="68"/>
    </row>
    <row r="41" spans="1:20">
      <c r="A41" s="39">
        <f t="shared" si="24"/>
        <v>26</v>
      </c>
      <c r="B41" s="5" t="s">
        <v>133</v>
      </c>
      <c r="C41" s="10">
        <v>20</v>
      </c>
      <c r="D41" s="72">
        <v>21</v>
      </c>
      <c r="E41" s="63">
        <v>1694.92</v>
      </c>
      <c r="F41" s="45">
        <v>2000</v>
      </c>
      <c r="G41" s="10">
        <f t="shared" ref="G41" si="29">IFERROR(D41*F41,0)</f>
        <v>42000</v>
      </c>
      <c r="H41" s="5" t="s">
        <v>210</v>
      </c>
      <c r="I41" s="10" t="s">
        <v>226</v>
      </c>
      <c r="J41" s="113">
        <v>42000</v>
      </c>
      <c r="K41" s="5"/>
      <c r="L41" s="10">
        <f t="shared" ref="L41" si="30">G41-J41</f>
        <v>0</v>
      </c>
      <c r="M41" s="120"/>
      <c r="N41" s="24"/>
      <c r="O41" s="24"/>
      <c r="P41" s="65"/>
      <c r="Q41" s="25"/>
      <c r="R41" s="65"/>
      <c r="S41" s="68"/>
    </row>
    <row r="42" spans="1:20">
      <c r="A42" s="39">
        <f t="shared" si="24"/>
        <v>27</v>
      </c>
      <c r="B42" s="5" t="s">
        <v>80</v>
      </c>
      <c r="C42" s="10">
        <v>430</v>
      </c>
      <c r="D42" s="11">
        <v>450</v>
      </c>
      <c r="E42" s="45">
        <f>2070/118*100</f>
        <v>1754.2372881355932</v>
      </c>
      <c r="F42" s="45">
        <v>2070</v>
      </c>
      <c r="G42" s="10">
        <f t="shared" ref="G42" si="31">IFERROR(D42*F42,0)</f>
        <v>931500</v>
      </c>
      <c r="H42" s="5" t="s">
        <v>210</v>
      </c>
      <c r="I42" s="10" t="s">
        <v>229</v>
      </c>
      <c r="J42" s="5">
        <v>232875</v>
      </c>
      <c r="K42" s="5"/>
      <c r="L42" s="326">
        <f>G42-J42-J43</f>
        <v>465750</v>
      </c>
      <c r="P42" s="65"/>
      <c r="Q42" s="25"/>
      <c r="R42" s="65"/>
      <c r="S42" s="66"/>
    </row>
    <row r="43" spans="1:20">
      <c r="A43" s="39"/>
      <c r="B43" s="5" t="s">
        <v>80</v>
      </c>
      <c r="C43" s="10">
        <v>430</v>
      </c>
      <c r="D43" s="11">
        <v>450</v>
      </c>
      <c r="E43" s="45">
        <f>2070/118*100</f>
        <v>1754.2372881355932</v>
      </c>
      <c r="F43" s="45">
        <v>2070</v>
      </c>
      <c r="G43" s="10">
        <f t="shared" ref="G43" si="32">IFERROR(D43*F43,0)</f>
        <v>931500</v>
      </c>
      <c r="H43" s="5" t="s">
        <v>250</v>
      </c>
      <c r="I43" s="10" t="s">
        <v>253</v>
      </c>
      <c r="J43" s="5">
        <v>232875</v>
      </c>
      <c r="K43" s="5"/>
      <c r="L43" s="327"/>
      <c r="P43" s="65"/>
      <c r="Q43" s="25"/>
      <c r="R43" s="65"/>
      <c r="S43" s="66"/>
    </row>
    <row r="44" spans="1:20">
      <c r="A44" s="39">
        <f>A42+1</f>
        <v>28</v>
      </c>
      <c r="B44" s="40" t="s">
        <v>206</v>
      </c>
      <c r="C44" s="5">
        <v>80</v>
      </c>
      <c r="D44" s="5">
        <v>69</v>
      </c>
      <c r="E44" s="9">
        <f>F44*100/118</f>
        <v>847.45762711864404</v>
      </c>
      <c r="F44" s="5">
        <v>1000</v>
      </c>
      <c r="G44" s="10">
        <f>IFERROR(D44*F44,0)</f>
        <v>69000</v>
      </c>
      <c r="H44" s="5" t="s">
        <v>232</v>
      </c>
      <c r="I44" s="10" t="s">
        <v>233</v>
      </c>
      <c r="J44" s="5">
        <v>34500</v>
      </c>
      <c r="K44" s="5"/>
      <c r="L44" s="5">
        <f t="shared" ref="L44" si="33">G44-J44</f>
        <v>34500</v>
      </c>
      <c r="Q44" s="25"/>
      <c r="R44" s="65"/>
      <c r="S44" s="122"/>
      <c r="T44" s="123"/>
    </row>
    <row r="45" spans="1:20">
      <c r="A45" s="39">
        <f t="shared" si="24"/>
        <v>29</v>
      </c>
      <c r="B45" s="40" t="s">
        <v>147</v>
      </c>
      <c r="C45" s="5"/>
      <c r="D45" s="8">
        <v>120</v>
      </c>
      <c r="E45" s="41">
        <v>1271.19</v>
      </c>
      <c r="F45" s="41">
        <v>1500</v>
      </c>
      <c r="G45" s="10">
        <f>IFERROR(D45*F45,0)</f>
        <v>180000</v>
      </c>
      <c r="H45" s="5" t="s">
        <v>210</v>
      </c>
      <c r="I45" s="10" t="s">
        <v>236</v>
      </c>
      <c r="J45" s="5">
        <v>45000</v>
      </c>
      <c r="K45" s="5"/>
      <c r="L45" s="319">
        <f>G45-J45-J46</f>
        <v>90000</v>
      </c>
    </row>
    <row r="46" spans="1:20">
      <c r="A46" s="39">
        <f t="shared" si="24"/>
        <v>30</v>
      </c>
      <c r="B46" s="40" t="s">
        <v>147</v>
      </c>
      <c r="C46" s="5"/>
      <c r="D46" s="8">
        <v>120</v>
      </c>
      <c r="E46" s="41">
        <v>1271.19</v>
      </c>
      <c r="F46" s="41">
        <v>1500</v>
      </c>
      <c r="G46" s="10">
        <f>IFERROR(D46*F46,0)</f>
        <v>180000</v>
      </c>
      <c r="H46" s="5" t="s">
        <v>210</v>
      </c>
      <c r="I46" s="10" t="s">
        <v>236</v>
      </c>
      <c r="J46" s="5">
        <v>45000</v>
      </c>
      <c r="K46" s="5"/>
      <c r="L46" s="320"/>
    </row>
    <row r="47" spans="1:20">
      <c r="A47" s="39">
        <f t="shared" si="24"/>
        <v>31</v>
      </c>
      <c r="B47" s="5" t="s">
        <v>85</v>
      </c>
      <c r="C47" s="10">
        <v>800</v>
      </c>
      <c r="D47" s="47">
        <v>796</v>
      </c>
      <c r="E47" s="45">
        <f>1200/118*100</f>
        <v>1016.9491525423729</v>
      </c>
      <c r="F47" s="45">
        <f t="shared" ref="F47" si="34">E47*1.18</f>
        <v>1200</v>
      </c>
      <c r="G47" s="10">
        <f t="shared" ref="G47" si="35">IFERROR(D47*F47,0)</f>
        <v>955200</v>
      </c>
      <c r="H47" s="5" t="s">
        <v>232</v>
      </c>
      <c r="I47" s="10" t="s">
        <v>234</v>
      </c>
      <c r="J47" s="5">
        <v>318400</v>
      </c>
      <c r="K47" s="5"/>
      <c r="L47" s="5">
        <f t="shared" ref="L47" si="36">G47-J47</f>
        <v>636800</v>
      </c>
    </row>
    <row r="48" spans="1:20">
      <c r="A48" s="39">
        <f t="shared" si="24"/>
        <v>32</v>
      </c>
      <c r="B48" s="5" t="s">
        <v>96</v>
      </c>
      <c r="C48" s="31"/>
      <c r="D48" s="10">
        <v>732</v>
      </c>
      <c r="E48" s="62">
        <v>1016.95</v>
      </c>
      <c r="F48" s="45">
        <v>1200</v>
      </c>
      <c r="G48" s="10">
        <f t="shared" ref="G48" si="37">IFERROR(D48*F48,0)</f>
        <v>878400</v>
      </c>
      <c r="H48" s="5" t="s">
        <v>210</v>
      </c>
      <c r="I48" s="10" t="s">
        <v>227</v>
      </c>
      <c r="J48" s="5">
        <v>166040</v>
      </c>
      <c r="K48" s="5"/>
      <c r="L48" s="5">
        <f t="shared" ref="L48" si="38">G48-J48</f>
        <v>712360</v>
      </c>
    </row>
    <row r="49" spans="1:12">
      <c r="A49" s="39">
        <f t="shared" si="24"/>
        <v>33</v>
      </c>
      <c r="B49" s="5" t="s">
        <v>67</v>
      </c>
      <c r="C49" s="74">
        <v>500</v>
      </c>
      <c r="D49" s="10">
        <v>608</v>
      </c>
      <c r="E49" s="45">
        <v>2500</v>
      </c>
      <c r="F49" s="45">
        <f t="shared" ref="F49" si="39">E49*1.18</f>
        <v>2950</v>
      </c>
      <c r="G49" s="10">
        <f>IFERROR(D49*F49,0)-(100*2950*20%)</f>
        <v>1734600</v>
      </c>
      <c r="H49" s="5" t="s">
        <v>243</v>
      </c>
      <c r="I49" s="10" t="s">
        <v>242</v>
      </c>
      <c r="J49" s="5">
        <v>433650</v>
      </c>
      <c r="K49" s="5"/>
      <c r="L49" s="5">
        <f t="shared" ref="L49" si="40">G49-J49</f>
        <v>1300950</v>
      </c>
    </row>
    <row r="50" spans="1:12">
      <c r="A50" s="39">
        <f t="shared" si="24"/>
        <v>34</v>
      </c>
      <c r="B50" s="5" t="s">
        <v>52</v>
      </c>
      <c r="C50" s="5">
        <v>420</v>
      </c>
      <c r="D50" s="8">
        <v>420</v>
      </c>
      <c r="E50" s="44">
        <v>2000</v>
      </c>
      <c r="F50" s="45">
        <v>1832</v>
      </c>
      <c r="G50" s="10">
        <f t="shared" ref="G50" si="41">IFERROR(D50*F50,0)</f>
        <v>769440</v>
      </c>
      <c r="H50" s="5" t="s">
        <v>243</v>
      </c>
      <c r="I50" s="10" t="s">
        <v>246</v>
      </c>
      <c r="J50" s="5">
        <v>384720</v>
      </c>
      <c r="K50" s="5"/>
      <c r="L50" s="317">
        <f>G51-J50-J51</f>
        <v>0</v>
      </c>
    </row>
    <row r="51" spans="1:12">
      <c r="A51" s="39"/>
      <c r="B51" s="5" t="s">
        <v>52</v>
      </c>
      <c r="C51" s="5">
        <v>420</v>
      </c>
      <c r="D51" s="8">
        <v>420</v>
      </c>
      <c r="E51" s="44">
        <v>2000</v>
      </c>
      <c r="F51" s="45">
        <v>1832</v>
      </c>
      <c r="G51" s="10">
        <f t="shared" ref="G51" si="42">IFERROR(D51*F51,0)</f>
        <v>769440</v>
      </c>
      <c r="H51" s="5" t="s">
        <v>243</v>
      </c>
      <c r="I51" s="10" t="s">
        <v>247</v>
      </c>
      <c r="J51" s="5">
        <v>384720</v>
      </c>
      <c r="K51" s="5"/>
      <c r="L51" s="318"/>
    </row>
    <row r="52" spans="1:12">
      <c r="A52" s="39">
        <f>A50+1</f>
        <v>35</v>
      </c>
      <c r="B52" s="5" t="s">
        <v>235</v>
      </c>
      <c r="C52" s="5">
        <v>60</v>
      </c>
      <c r="D52" s="5">
        <v>60</v>
      </c>
      <c r="E52" s="9">
        <f>F52*100/118</f>
        <v>1525.4237288135594</v>
      </c>
      <c r="F52" s="5">
        <v>1800</v>
      </c>
      <c r="G52" s="10">
        <f>IFERROR(D52*F52,0)</f>
        <v>108000</v>
      </c>
      <c r="H52" s="5" t="s">
        <v>243</v>
      </c>
      <c r="I52" s="10" t="s">
        <v>245</v>
      </c>
      <c r="J52" s="5">
        <v>108000</v>
      </c>
      <c r="K52" s="5"/>
      <c r="L52" s="5">
        <f t="shared" ref="L52" si="43">G52-J52</f>
        <v>0</v>
      </c>
    </row>
  </sheetData>
  <autoFilter ref="A4:L22" xr:uid="{454B5386-B888-4EDE-B192-2BA73E80BBBF}"/>
  <mergeCells count="11">
    <mergeCell ref="L50:L51"/>
    <mergeCell ref="L45:L46"/>
    <mergeCell ref="I3:J3"/>
    <mergeCell ref="I20:I21"/>
    <mergeCell ref="L34:L35"/>
    <mergeCell ref="L12:L13"/>
    <mergeCell ref="L31:L32"/>
    <mergeCell ref="L37:L38"/>
    <mergeCell ref="L15:L17"/>
    <mergeCell ref="L5:L7"/>
    <mergeCell ref="L42:L43"/>
  </mergeCells>
  <conditionalFormatting sqref="B5:B22">
    <cfRule type="duplicateValues" dxfId="26" priority="13"/>
  </conditionalFormatting>
  <conditionalFormatting sqref="B23">
    <cfRule type="duplicateValues" dxfId="25" priority="11"/>
  </conditionalFormatting>
  <conditionalFormatting sqref="B25">
    <cfRule type="duplicateValues" dxfId="24" priority="9"/>
  </conditionalFormatting>
  <conditionalFormatting sqref="B26:B29">
    <cfRule type="duplicateValues" dxfId="23" priority="8"/>
  </conditionalFormatting>
  <conditionalFormatting sqref="B30">
    <cfRule type="duplicateValues" dxfId="22" priority="7"/>
  </conditionalFormatting>
  <conditionalFormatting sqref="B31:B32">
    <cfRule type="duplicateValues" dxfId="21" priority="6"/>
  </conditionalFormatting>
  <conditionalFormatting sqref="B37:B38">
    <cfRule type="duplicateValues" dxfId="20" priority="5"/>
  </conditionalFormatting>
  <conditionalFormatting sqref="B41">
    <cfRule type="duplicateValues" dxfId="19" priority="4"/>
  </conditionalFormatting>
  <conditionalFormatting sqref="B42:B43">
    <cfRule type="duplicateValues" dxfId="18" priority="3"/>
  </conditionalFormatting>
  <conditionalFormatting sqref="B48:B49">
    <cfRule type="duplicateValues" dxfId="17" priority="2"/>
  </conditionalFormatting>
  <conditionalFormatting sqref="B50:B51">
    <cfRule type="duplicateValues" dxfId="16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CE90F-4946-4027-809B-0D8FCE5256EC}">
  <dimension ref="A1:AE25"/>
  <sheetViews>
    <sheetView zoomScaleNormal="100" workbookViewId="0">
      <pane xSplit="2" ySplit="4" topLeftCell="J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defaultRowHeight="15"/>
  <cols>
    <col min="1" max="1" width="9.85546875" customWidth="1"/>
    <col min="2" max="2" width="45.42578125" bestFit="1" customWidth="1"/>
    <col min="3" max="4" width="0" hidden="1" customWidth="1"/>
    <col min="5" max="5" width="14.28515625" hidden="1" customWidth="1"/>
    <col min="6" max="6" width="7.42578125" hidden="1" customWidth="1"/>
    <col min="7" max="7" width="27.42578125" hidden="1" customWidth="1"/>
    <col min="8" max="8" width="16.42578125" hidden="1" customWidth="1"/>
    <col min="9" max="9" width="12" hidden="1" customWidth="1"/>
    <col min="12" max="13" width="9.5703125" bestFit="1" customWidth="1"/>
    <col min="14" max="14" width="9.5703125" customWidth="1"/>
    <col min="15" max="15" width="10.5703125" bestFit="1" customWidth="1"/>
    <col min="18" max="18" width="18.42578125" bestFit="1" customWidth="1"/>
    <col min="19" max="19" width="6.85546875" bestFit="1" customWidth="1"/>
    <col min="20" max="20" width="10.5703125" bestFit="1" customWidth="1"/>
    <col min="21" max="21" width="10.28515625" customWidth="1"/>
    <col min="22" max="22" width="17.5703125" bestFit="1" customWidth="1"/>
    <col min="23" max="23" width="7.42578125" customWidth="1"/>
    <col min="24" max="24" width="9.85546875" customWidth="1"/>
    <col min="25" max="25" width="8.140625" customWidth="1"/>
    <col min="26" max="26" width="5.140625" customWidth="1"/>
    <col min="27" max="27" width="9.85546875" customWidth="1"/>
    <col min="28" max="28" width="8.28515625" customWidth="1"/>
    <col min="29" max="29" width="6.28515625" customWidth="1"/>
    <col min="30" max="30" width="9.42578125" customWidth="1"/>
    <col min="31" max="31" width="9" customWidth="1"/>
  </cols>
  <sheetData>
    <row r="1" spans="1:31">
      <c r="A1" s="2" t="s">
        <v>0</v>
      </c>
      <c r="B1" s="1"/>
      <c r="C1" s="21"/>
      <c r="D1" s="21"/>
      <c r="E1" s="6"/>
      <c r="F1" s="6"/>
      <c r="G1" s="2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5"/>
      <c r="U1" s="15"/>
      <c r="V1" s="15"/>
      <c r="W1" s="1"/>
      <c r="X1" s="1"/>
      <c r="Y1" s="1"/>
      <c r="Z1" s="1"/>
      <c r="AA1" s="1"/>
      <c r="AB1" s="1"/>
      <c r="AC1" s="1"/>
      <c r="AD1" s="1"/>
      <c r="AE1" s="1"/>
    </row>
    <row r="2" spans="1:31">
      <c r="A2" s="2" t="s">
        <v>1</v>
      </c>
      <c r="B2" s="3"/>
      <c r="C2" s="42"/>
      <c r="D2" s="42"/>
      <c r="E2" s="21"/>
      <c r="F2" s="2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>
      <c r="A3" s="2"/>
      <c r="B3" s="3"/>
      <c r="C3" s="42"/>
      <c r="D3" s="42"/>
      <c r="E3" s="21"/>
      <c r="F3" s="2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328" t="s">
        <v>3</v>
      </c>
      <c r="T3" s="328"/>
      <c r="U3" s="328"/>
      <c r="V3" s="107"/>
      <c r="W3" s="329" t="s">
        <v>4</v>
      </c>
      <c r="X3" s="329"/>
      <c r="Y3" s="329"/>
      <c r="Z3" s="330" t="s">
        <v>5</v>
      </c>
      <c r="AA3" s="330"/>
      <c r="AB3" s="330"/>
      <c r="AC3" s="307" t="s">
        <v>6</v>
      </c>
      <c r="AD3" s="307"/>
      <c r="AE3" s="307"/>
    </row>
    <row r="4" spans="1:31" ht="75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184</v>
      </c>
      <c r="O4" s="4" t="s">
        <v>42</v>
      </c>
      <c r="P4" s="4" t="s">
        <v>43</v>
      </c>
      <c r="Q4" s="4" t="s">
        <v>44</v>
      </c>
      <c r="R4" s="4" t="s">
        <v>159</v>
      </c>
      <c r="S4" s="7" t="s">
        <v>45</v>
      </c>
      <c r="T4" s="7" t="s">
        <v>46</v>
      </c>
      <c r="U4" s="7" t="s">
        <v>47</v>
      </c>
      <c r="V4" s="7" t="s">
        <v>204</v>
      </c>
      <c r="W4" s="17" t="s">
        <v>45</v>
      </c>
      <c r="X4" s="17" t="s">
        <v>46</v>
      </c>
      <c r="Y4" s="17" t="s">
        <v>47</v>
      </c>
      <c r="Z4" s="18" t="s">
        <v>45</v>
      </c>
      <c r="AA4" s="18" t="s">
        <v>46</v>
      </c>
      <c r="AB4" s="18" t="s">
        <v>47</v>
      </c>
      <c r="AC4" s="19" t="s">
        <v>45</v>
      </c>
      <c r="AD4" s="19" t="s">
        <v>46</v>
      </c>
      <c r="AE4" s="19" t="s">
        <v>47</v>
      </c>
    </row>
    <row r="5" spans="1:31">
      <c r="A5" s="4">
        <v>1</v>
      </c>
      <c r="B5" s="5" t="s">
        <v>67</v>
      </c>
      <c r="C5" s="31">
        <v>1</v>
      </c>
      <c r="D5" s="31"/>
      <c r="E5" s="43" t="s">
        <v>68</v>
      </c>
      <c r="F5" s="31" t="s">
        <v>54</v>
      </c>
      <c r="G5" s="5" t="s">
        <v>55</v>
      </c>
      <c r="H5" s="5" t="s">
        <v>56</v>
      </c>
      <c r="I5" s="5" t="s">
        <v>57</v>
      </c>
      <c r="J5" s="5">
        <v>500</v>
      </c>
      <c r="K5" s="47">
        <v>608</v>
      </c>
      <c r="L5" s="45">
        <v>2500</v>
      </c>
      <c r="M5" s="45">
        <f t="shared" ref="M5:M6" si="0">L5*1.18</f>
        <v>2950</v>
      </c>
      <c r="N5" s="45">
        <f>-(100*2950)*20%</f>
        <v>-59000</v>
      </c>
      <c r="O5" s="10">
        <f>IFERROR(K5*M5,0)+N5</f>
        <v>1734600</v>
      </c>
      <c r="P5" s="10"/>
      <c r="Q5" s="13" t="s">
        <v>132</v>
      </c>
      <c r="R5" s="13" t="s">
        <v>160</v>
      </c>
      <c r="S5" s="12">
        <v>0.25</v>
      </c>
      <c r="T5" s="13">
        <f>O5*S5</f>
        <v>433650</v>
      </c>
      <c r="U5" s="22" t="s">
        <v>61</v>
      </c>
      <c r="V5" s="22"/>
      <c r="W5" s="12"/>
      <c r="X5" s="13"/>
      <c r="Y5" s="23"/>
      <c r="Z5" s="12"/>
      <c r="AA5" s="13"/>
      <c r="AB5" s="23"/>
      <c r="AC5" s="12"/>
      <c r="AD5" s="13"/>
      <c r="AE5" s="23"/>
    </row>
    <row r="6" spans="1:31">
      <c r="A6" s="4">
        <f t="shared" ref="A6:A8" si="1">A5+1</f>
        <v>2</v>
      </c>
      <c r="B6" s="5" t="s">
        <v>84</v>
      </c>
      <c r="C6" s="31">
        <v>1</v>
      </c>
      <c r="D6" s="31"/>
      <c r="E6" s="31" t="s">
        <v>53</v>
      </c>
      <c r="F6" s="31" t="s">
        <v>54</v>
      </c>
      <c r="G6" s="29" t="s">
        <v>53</v>
      </c>
      <c r="H6" s="5" t="s">
        <v>56</v>
      </c>
      <c r="I6" s="5" t="s">
        <v>57</v>
      </c>
      <c r="J6" s="10">
        <v>400</v>
      </c>
      <c r="K6" s="47">
        <v>343</v>
      </c>
      <c r="L6" s="45">
        <v>2000</v>
      </c>
      <c r="M6" s="45">
        <f t="shared" si="0"/>
        <v>2360</v>
      </c>
      <c r="N6" s="45"/>
      <c r="O6" s="10">
        <f t="shared" ref="O6:O17" si="2">IFERROR(K6*M6,0)</f>
        <v>809480</v>
      </c>
      <c r="P6" s="10"/>
      <c r="Q6" s="13" t="s">
        <v>132</v>
      </c>
      <c r="R6" s="13" t="s">
        <v>161</v>
      </c>
      <c r="S6" s="12">
        <v>0.25</v>
      </c>
      <c r="T6" s="10">
        <f>O6*25%</f>
        <v>202370</v>
      </c>
      <c r="U6" s="22" t="s">
        <v>61</v>
      </c>
      <c r="V6" s="22"/>
      <c r="W6" s="12"/>
      <c r="X6" s="10"/>
      <c r="Y6" s="37"/>
      <c r="Z6" s="12"/>
      <c r="AA6" s="10"/>
      <c r="AB6" s="58"/>
      <c r="AC6" s="12"/>
      <c r="AD6" s="10"/>
      <c r="AE6" s="58"/>
    </row>
    <row r="7" spans="1:31">
      <c r="A7" s="4">
        <f t="shared" si="1"/>
        <v>3</v>
      </c>
      <c r="B7" s="5" t="s">
        <v>83</v>
      </c>
      <c r="C7" s="31">
        <v>1</v>
      </c>
      <c r="D7" s="31"/>
      <c r="E7" s="31" t="s">
        <v>54</v>
      </c>
      <c r="F7" s="31" t="s">
        <v>54</v>
      </c>
      <c r="G7" s="5" t="s">
        <v>55</v>
      </c>
      <c r="H7" s="5" t="s">
        <v>56</v>
      </c>
      <c r="I7" s="5" t="s">
        <v>57</v>
      </c>
      <c r="J7" s="10">
        <v>350</v>
      </c>
      <c r="K7" s="40">
        <v>420</v>
      </c>
      <c r="L7" s="41">
        <f t="shared" ref="L7:L13" si="3">M7*100/118</f>
        <v>1694.9152542372881</v>
      </c>
      <c r="M7" s="45">
        <v>2000</v>
      </c>
      <c r="N7" s="45"/>
      <c r="O7" s="10">
        <f t="shared" si="2"/>
        <v>840000</v>
      </c>
      <c r="P7" s="10"/>
      <c r="Q7" s="13" t="s">
        <v>132</v>
      </c>
      <c r="R7" s="13" t="s">
        <v>162</v>
      </c>
      <c r="S7" s="12">
        <v>0.5</v>
      </c>
      <c r="T7" s="10">
        <f>O7*50%</f>
        <v>420000</v>
      </c>
      <c r="U7" s="22" t="s">
        <v>61</v>
      </c>
      <c r="V7" s="22"/>
      <c r="W7" s="12"/>
      <c r="X7" s="10"/>
      <c r="Y7" s="37"/>
      <c r="Z7" s="10"/>
      <c r="AA7" s="10"/>
      <c r="AB7" s="10"/>
      <c r="AC7" s="10"/>
      <c r="AD7" s="10"/>
      <c r="AE7" s="10"/>
    </row>
    <row r="8" spans="1:31">
      <c r="A8" s="4">
        <f t="shared" si="1"/>
        <v>4</v>
      </c>
      <c r="B8" s="5" t="s">
        <v>85</v>
      </c>
      <c r="C8" s="31">
        <v>1</v>
      </c>
      <c r="D8" s="31" t="s">
        <v>54</v>
      </c>
      <c r="E8" s="31" t="s">
        <v>54</v>
      </c>
      <c r="F8" s="31" t="s">
        <v>54</v>
      </c>
      <c r="G8" s="5" t="s">
        <v>55</v>
      </c>
      <c r="H8" s="5" t="s">
        <v>86</v>
      </c>
      <c r="I8" s="5" t="s">
        <v>57</v>
      </c>
      <c r="J8" s="10">
        <v>800</v>
      </c>
      <c r="K8" s="47">
        <v>796</v>
      </c>
      <c r="L8" s="41">
        <f t="shared" si="3"/>
        <v>1016.9491525423729</v>
      </c>
      <c r="M8" s="45">
        <v>1200</v>
      </c>
      <c r="N8" s="45"/>
      <c r="O8" s="10">
        <f t="shared" si="2"/>
        <v>955200</v>
      </c>
      <c r="P8" s="10"/>
      <c r="Q8" s="13" t="s">
        <v>132</v>
      </c>
      <c r="R8" s="13" t="s">
        <v>164</v>
      </c>
      <c r="S8" s="46">
        <v>0.33329999999999999</v>
      </c>
      <c r="T8" s="10">
        <f>O8/3</f>
        <v>318400</v>
      </c>
      <c r="U8" s="22" t="s">
        <v>61</v>
      </c>
      <c r="V8" s="22"/>
      <c r="W8" s="12"/>
      <c r="X8" s="10"/>
      <c r="Y8" s="37"/>
      <c r="Z8" s="12"/>
      <c r="AA8" s="10"/>
      <c r="AB8" s="22"/>
      <c r="AC8" s="10"/>
      <c r="AD8" s="10"/>
      <c r="AE8" s="10"/>
    </row>
    <row r="9" spans="1:31">
      <c r="A9" s="4">
        <f>A8+1</f>
        <v>5</v>
      </c>
      <c r="B9" s="5" t="s">
        <v>59</v>
      </c>
      <c r="C9" s="31">
        <v>1</v>
      </c>
      <c r="D9" s="31"/>
      <c r="E9" s="31" t="s">
        <v>53</v>
      </c>
      <c r="F9" s="31" t="s">
        <v>54</v>
      </c>
      <c r="G9" s="5" t="s">
        <v>55</v>
      </c>
      <c r="H9" s="5" t="s">
        <v>60</v>
      </c>
      <c r="I9" s="5" t="s">
        <v>57</v>
      </c>
      <c r="J9" s="5">
        <v>540</v>
      </c>
      <c r="K9" s="11">
        <v>531</v>
      </c>
      <c r="L9" s="41">
        <f t="shared" si="3"/>
        <v>2700</v>
      </c>
      <c r="M9" s="45">
        <v>3186</v>
      </c>
      <c r="N9" s="45"/>
      <c r="O9" s="10">
        <f t="shared" si="2"/>
        <v>1691766</v>
      </c>
      <c r="P9" s="10">
        <v>0</v>
      </c>
      <c r="Q9" s="13" t="s">
        <v>132</v>
      </c>
      <c r="R9" s="13" t="s">
        <v>163</v>
      </c>
      <c r="S9" s="12">
        <v>0.25</v>
      </c>
      <c r="T9" s="10">
        <f>O9*25%</f>
        <v>422941.5</v>
      </c>
      <c r="U9" s="22" t="s">
        <v>61</v>
      </c>
      <c r="V9" s="13"/>
      <c r="W9" s="12"/>
      <c r="X9" s="10"/>
      <c r="Y9" s="23"/>
      <c r="Z9" s="12"/>
      <c r="AA9" s="10"/>
      <c r="AB9" s="23"/>
      <c r="AC9" s="12"/>
      <c r="AD9" s="10"/>
      <c r="AE9" s="23"/>
    </row>
    <row r="10" spans="1:31">
      <c r="A10" s="39">
        <v>6</v>
      </c>
      <c r="B10" s="40" t="s">
        <v>102</v>
      </c>
      <c r="C10" s="31">
        <v>1</v>
      </c>
      <c r="D10" s="31" t="s">
        <v>54</v>
      </c>
      <c r="E10" s="31" t="s">
        <v>54</v>
      </c>
      <c r="F10" s="31" t="s">
        <v>54</v>
      </c>
      <c r="G10" s="5" t="s">
        <v>55</v>
      </c>
      <c r="H10" s="5" t="s">
        <v>103</v>
      </c>
      <c r="I10" s="5" t="s">
        <v>104</v>
      </c>
      <c r="J10" s="5">
        <v>40</v>
      </c>
      <c r="K10" s="5">
        <v>35</v>
      </c>
      <c r="L10" s="41">
        <f t="shared" si="3"/>
        <v>1016.9491525423729</v>
      </c>
      <c r="M10" s="44">
        <v>1200</v>
      </c>
      <c r="N10" s="44"/>
      <c r="O10" s="10">
        <f t="shared" si="2"/>
        <v>42000</v>
      </c>
      <c r="P10" s="5">
        <v>18600</v>
      </c>
      <c r="Q10" s="13" t="s">
        <v>132</v>
      </c>
      <c r="R10" s="13" t="s">
        <v>165</v>
      </c>
      <c r="S10" s="12">
        <v>1</v>
      </c>
      <c r="T10" s="13">
        <f>O10*S10</f>
        <v>42000</v>
      </c>
      <c r="U10" s="22" t="s">
        <v>61</v>
      </c>
      <c r="V10" s="22"/>
      <c r="W10" s="13"/>
      <c r="X10" s="13"/>
      <c r="Y10" s="13"/>
      <c r="Z10" s="13"/>
      <c r="AA10" s="13"/>
      <c r="AB10" s="13"/>
      <c r="AC10" s="13"/>
      <c r="AD10" s="13"/>
      <c r="AE10" s="13"/>
    </row>
    <row r="11" spans="1:31">
      <c r="A11" s="4">
        <v>7</v>
      </c>
      <c r="B11" s="5" t="s">
        <v>80</v>
      </c>
      <c r="C11" s="31">
        <v>1</v>
      </c>
      <c r="D11" s="31"/>
      <c r="E11" s="31" t="s">
        <v>53</v>
      </c>
      <c r="F11" s="31" t="s">
        <v>54</v>
      </c>
      <c r="G11" s="5" t="s">
        <v>55</v>
      </c>
      <c r="H11" s="5" t="s">
        <v>56</v>
      </c>
      <c r="I11" s="5" t="s">
        <v>57</v>
      </c>
      <c r="J11" s="10">
        <v>430</v>
      </c>
      <c r="K11" s="11">
        <v>450</v>
      </c>
      <c r="L11" s="41">
        <f t="shared" si="3"/>
        <v>1754.2372881355932</v>
      </c>
      <c r="M11" s="45">
        <v>2070</v>
      </c>
      <c r="N11" s="45"/>
      <c r="O11" s="10">
        <f t="shared" si="2"/>
        <v>931500</v>
      </c>
      <c r="P11" s="10"/>
      <c r="Q11" s="13" t="s">
        <v>132</v>
      </c>
      <c r="R11" s="13" t="s">
        <v>166</v>
      </c>
      <c r="S11" s="12">
        <v>0.25</v>
      </c>
      <c r="T11" s="13">
        <f>O11*S11</f>
        <v>232875</v>
      </c>
      <c r="U11" s="22" t="s">
        <v>61</v>
      </c>
      <c r="V11" s="13" t="s">
        <v>178</v>
      </c>
      <c r="W11" s="12">
        <v>0.25</v>
      </c>
      <c r="X11" s="13">
        <f>O11*W11</f>
        <v>232875</v>
      </c>
      <c r="Y11" s="35" t="s">
        <v>66</v>
      </c>
      <c r="Z11" s="12"/>
      <c r="AA11" s="13"/>
      <c r="AB11" s="58"/>
      <c r="AC11" s="12"/>
      <c r="AD11" s="13"/>
      <c r="AE11" s="58"/>
    </row>
    <row r="12" spans="1:31">
      <c r="A12" s="4">
        <v>8</v>
      </c>
      <c r="B12" s="5" t="s">
        <v>168</v>
      </c>
      <c r="C12" s="31"/>
      <c r="D12" s="31"/>
      <c r="E12" s="31"/>
      <c r="F12" s="31"/>
      <c r="G12" s="5"/>
      <c r="H12" s="5"/>
      <c r="I12" s="5"/>
      <c r="J12" s="10"/>
      <c r="K12" s="11">
        <v>732</v>
      </c>
      <c r="L12" s="41">
        <f t="shared" si="3"/>
        <v>1016.9491525423729</v>
      </c>
      <c r="M12" s="45">
        <v>1200</v>
      </c>
      <c r="N12" s="45"/>
      <c r="O12" s="10">
        <f t="shared" si="2"/>
        <v>878400</v>
      </c>
      <c r="P12" s="10"/>
      <c r="Q12" s="13" t="s">
        <v>132</v>
      </c>
      <c r="R12" s="13" t="s">
        <v>169</v>
      </c>
      <c r="S12" s="12">
        <v>0.25</v>
      </c>
      <c r="T12" s="13">
        <f>O12*S12</f>
        <v>219600</v>
      </c>
      <c r="U12" s="35" t="s">
        <v>66</v>
      </c>
      <c r="V12" s="13" t="s">
        <v>203</v>
      </c>
      <c r="W12" s="12">
        <v>0.25</v>
      </c>
      <c r="X12" s="13">
        <f>O12*W12</f>
        <v>219600</v>
      </c>
      <c r="Y12" s="35" t="s">
        <v>69</v>
      </c>
      <c r="Z12" s="12"/>
      <c r="AA12" s="13"/>
      <c r="AB12" s="58"/>
      <c r="AC12" s="12"/>
      <c r="AD12" s="13"/>
      <c r="AE12" s="58"/>
    </row>
    <row r="13" spans="1:31">
      <c r="A13" s="39">
        <v>9</v>
      </c>
      <c r="B13" s="59" t="s">
        <v>99</v>
      </c>
      <c r="C13" s="31">
        <v>1</v>
      </c>
      <c r="D13" s="31" t="s">
        <v>100</v>
      </c>
      <c r="E13" s="31" t="s">
        <v>100</v>
      </c>
      <c r="F13" s="31" t="s">
        <v>54</v>
      </c>
      <c r="G13" s="5" t="s">
        <v>55</v>
      </c>
      <c r="H13" s="5" t="s">
        <v>101</v>
      </c>
      <c r="I13" s="5" t="s">
        <v>97</v>
      </c>
      <c r="J13" s="5"/>
      <c r="K13" s="5">
        <v>270</v>
      </c>
      <c r="L13" s="41">
        <f t="shared" si="3"/>
        <v>2754.2372881355932</v>
      </c>
      <c r="M13" s="45">
        <v>3250</v>
      </c>
      <c r="N13" s="45"/>
      <c r="O13" s="10">
        <f t="shared" si="2"/>
        <v>877500</v>
      </c>
      <c r="P13" s="5"/>
      <c r="Q13" s="13" t="s">
        <v>132</v>
      </c>
      <c r="R13" s="13" t="s">
        <v>167</v>
      </c>
      <c r="S13" s="12">
        <v>1</v>
      </c>
      <c r="T13" s="13">
        <f>O13</f>
        <v>877500</v>
      </c>
      <c r="U13" s="22" t="s">
        <v>61</v>
      </c>
      <c r="V13" s="22"/>
      <c r="W13" s="13"/>
      <c r="X13" s="13"/>
      <c r="Y13" s="13"/>
      <c r="Z13" s="13"/>
      <c r="AA13" s="13"/>
      <c r="AB13" s="13"/>
      <c r="AC13" s="13"/>
      <c r="AD13" s="13"/>
      <c r="AE13" s="13"/>
    </row>
    <row r="14" spans="1:31">
      <c r="A14" s="39">
        <v>10</v>
      </c>
      <c r="B14" s="59" t="s">
        <v>72</v>
      </c>
      <c r="C14" s="31"/>
      <c r="D14" s="31"/>
      <c r="E14" s="31"/>
      <c r="F14" s="31"/>
      <c r="G14" s="5"/>
      <c r="H14" s="5"/>
      <c r="I14" s="5"/>
      <c r="J14" s="5"/>
      <c r="K14" s="5">
        <v>960</v>
      </c>
      <c r="L14" s="41">
        <f>M14*100/118</f>
        <v>1864.406779661017</v>
      </c>
      <c r="M14" s="45">
        <v>2200</v>
      </c>
      <c r="N14" s="45"/>
      <c r="O14" s="10">
        <f t="shared" si="2"/>
        <v>2112000</v>
      </c>
      <c r="P14" s="5"/>
      <c r="Q14" s="13" t="s">
        <v>132</v>
      </c>
      <c r="R14" s="13" t="s">
        <v>170</v>
      </c>
      <c r="S14" s="12">
        <v>0.25</v>
      </c>
      <c r="T14" s="13">
        <f>O14*S14</f>
        <v>528000</v>
      </c>
      <c r="U14" s="35" t="s">
        <v>66</v>
      </c>
      <c r="V14" s="35"/>
      <c r="W14" s="13"/>
      <c r="X14" s="13"/>
      <c r="Y14" s="13"/>
      <c r="Z14" s="13"/>
      <c r="AA14" s="13"/>
      <c r="AB14" s="13"/>
      <c r="AC14" s="13"/>
      <c r="AD14" s="13"/>
      <c r="AE14" s="13"/>
    </row>
    <row r="15" spans="1:31">
      <c r="A15" s="4">
        <v>11</v>
      </c>
      <c r="B15" s="5" t="s">
        <v>133</v>
      </c>
      <c r="C15" s="31">
        <v>1</v>
      </c>
      <c r="D15" s="31"/>
      <c r="E15" s="31"/>
      <c r="F15" s="31"/>
      <c r="G15" s="5"/>
      <c r="H15" s="5" t="s">
        <v>56</v>
      </c>
      <c r="I15" s="5" t="s">
        <v>57</v>
      </c>
      <c r="J15" s="10"/>
      <c r="K15" s="5">
        <v>22</v>
      </c>
      <c r="L15" s="41">
        <f t="shared" ref="L15:L25" si="4">M15*100/118</f>
        <v>1694.9152542372881</v>
      </c>
      <c r="M15" s="45">
        <v>2000</v>
      </c>
      <c r="N15" s="45"/>
      <c r="O15" s="10">
        <f t="shared" si="2"/>
        <v>44000</v>
      </c>
      <c r="P15" s="10"/>
      <c r="Q15" s="13" t="s">
        <v>132</v>
      </c>
      <c r="R15" s="13" t="s">
        <v>172</v>
      </c>
      <c r="S15" s="12">
        <v>1</v>
      </c>
      <c r="T15" s="13">
        <f>O15*S15</f>
        <v>44000</v>
      </c>
      <c r="U15" s="35" t="s">
        <v>66</v>
      </c>
      <c r="V15" s="35"/>
      <c r="W15" s="13"/>
      <c r="X15" s="13"/>
      <c r="Y15" s="13"/>
      <c r="Z15" s="13"/>
      <c r="AA15" s="13"/>
      <c r="AB15" s="13"/>
      <c r="AC15" s="13"/>
      <c r="AD15" s="13"/>
      <c r="AE15" s="13"/>
    </row>
    <row r="16" spans="1:31">
      <c r="A16" s="4">
        <v>12</v>
      </c>
      <c r="B16" s="5" t="s">
        <v>95</v>
      </c>
      <c r="C16" s="31"/>
      <c r="D16" s="31"/>
      <c r="E16" s="31"/>
      <c r="F16" s="31"/>
      <c r="G16" s="5"/>
      <c r="H16" s="5"/>
      <c r="I16" s="5"/>
      <c r="J16" s="10"/>
      <c r="K16" s="5">
        <v>342</v>
      </c>
      <c r="L16" s="41">
        <f t="shared" si="4"/>
        <v>1220.3389830508474</v>
      </c>
      <c r="M16" s="45">
        <v>1440</v>
      </c>
      <c r="N16" s="45"/>
      <c r="O16" s="10">
        <f t="shared" si="2"/>
        <v>492480</v>
      </c>
      <c r="P16" s="10"/>
      <c r="Q16" s="13" t="s">
        <v>132</v>
      </c>
      <c r="R16" s="13" t="s">
        <v>171</v>
      </c>
      <c r="S16" s="12">
        <v>0.25</v>
      </c>
      <c r="T16" s="13">
        <f>O16*S16</f>
        <v>123120</v>
      </c>
      <c r="U16" s="35" t="s">
        <v>66</v>
      </c>
      <c r="V16" s="35"/>
      <c r="W16" s="13"/>
      <c r="X16" s="13"/>
      <c r="Y16" s="13"/>
      <c r="Z16" s="13"/>
      <c r="AA16" s="13"/>
      <c r="AB16" s="13"/>
      <c r="AC16" s="13"/>
      <c r="AD16" s="13"/>
      <c r="AE16" s="13"/>
    </row>
    <row r="17" spans="1:31">
      <c r="A17" s="39">
        <v>13</v>
      </c>
      <c r="B17" s="5" t="s">
        <v>139</v>
      </c>
      <c r="C17" s="31">
        <v>1</v>
      </c>
      <c r="D17" s="31"/>
      <c r="E17" s="31" t="s">
        <v>53</v>
      </c>
      <c r="F17" s="31"/>
      <c r="G17" s="5" t="s">
        <v>134</v>
      </c>
      <c r="H17" s="5" t="s">
        <v>56</v>
      </c>
      <c r="I17" s="5" t="s">
        <v>57</v>
      </c>
      <c r="J17" s="5"/>
      <c r="K17" s="5">
        <v>49</v>
      </c>
      <c r="L17" s="41">
        <f t="shared" si="4"/>
        <v>2500</v>
      </c>
      <c r="M17" s="5">
        <v>2950</v>
      </c>
      <c r="N17" s="5"/>
      <c r="O17" s="10">
        <f t="shared" si="2"/>
        <v>144550</v>
      </c>
      <c r="P17" s="5"/>
      <c r="Q17" s="13" t="s">
        <v>132</v>
      </c>
      <c r="R17" s="13" t="s">
        <v>173</v>
      </c>
      <c r="S17" s="12">
        <v>0.25</v>
      </c>
      <c r="T17" s="10">
        <f>O17*25%</f>
        <v>36137.5</v>
      </c>
      <c r="U17" s="35" t="s">
        <v>66</v>
      </c>
      <c r="V17" s="35"/>
      <c r="W17" s="12"/>
      <c r="X17" s="10"/>
      <c r="Y17" s="35"/>
      <c r="Z17" s="12"/>
      <c r="AA17" s="10"/>
      <c r="AB17" s="23"/>
      <c r="AC17" s="12"/>
      <c r="AD17" s="10"/>
      <c r="AE17" s="23"/>
    </row>
    <row r="18" spans="1:31">
      <c r="A18" s="4">
        <v>14</v>
      </c>
      <c r="B18" s="40" t="s">
        <v>209</v>
      </c>
      <c r="C18" s="31">
        <v>1</v>
      </c>
      <c r="D18" s="31" t="s">
        <v>146</v>
      </c>
      <c r="E18" s="31" t="s">
        <v>146</v>
      </c>
      <c r="F18" s="31" t="s">
        <v>145</v>
      </c>
      <c r="G18" s="78"/>
      <c r="H18" s="5" t="s">
        <v>144</v>
      </c>
      <c r="I18" s="5" t="s">
        <v>143</v>
      </c>
      <c r="J18" s="5"/>
      <c r="K18" s="8">
        <v>120</v>
      </c>
      <c r="L18" s="41">
        <f t="shared" si="4"/>
        <v>1271.1864406779662</v>
      </c>
      <c r="M18" s="41">
        <v>1500</v>
      </c>
      <c r="N18" s="41"/>
      <c r="O18" s="10">
        <f t="shared" ref="O18:O25" si="5">IFERROR(K18*M18,0)</f>
        <v>180000</v>
      </c>
      <c r="P18" s="5">
        <v>20000</v>
      </c>
      <c r="Q18" s="13" t="s">
        <v>132</v>
      </c>
      <c r="R18" s="13" t="s">
        <v>174</v>
      </c>
      <c r="S18" s="12">
        <v>0.25</v>
      </c>
      <c r="T18" s="10">
        <f t="shared" ref="T18:T21" si="6">O18*S18</f>
        <v>45000</v>
      </c>
      <c r="U18" s="35" t="s">
        <v>66</v>
      </c>
      <c r="V18" s="13" t="s">
        <v>175</v>
      </c>
      <c r="W18" s="12">
        <v>0.25</v>
      </c>
      <c r="X18" s="10">
        <f>O18*W18</f>
        <v>45000</v>
      </c>
      <c r="Y18" s="35" t="s">
        <v>66</v>
      </c>
      <c r="Z18" s="12"/>
      <c r="AA18" s="10"/>
      <c r="AB18" s="51"/>
      <c r="AC18" s="12"/>
      <c r="AD18" s="10"/>
      <c r="AE18" s="51"/>
    </row>
    <row r="19" spans="1:31">
      <c r="A19" s="39">
        <v>15</v>
      </c>
      <c r="B19" s="40" t="s">
        <v>85</v>
      </c>
      <c r="C19" s="31">
        <v>1</v>
      </c>
      <c r="D19" s="31" t="s">
        <v>146</v>
      </c>
      <c r="E19" s="31" t="s">
        <v>146</v>
      </c>
      <c r="F19" s="31" t="s">
        <v>145</v>
      </c>
      <c r="G19" s="78"/>
      <c r="H19" s="5" t="s">
        <v>144</v>
      </c>
      <c r="I19" s="5" t="s">
        <v>143</v>
      </c>
      <c r="J19" s="5"/>
      <c r="K19" s="8">
        <v>796</v>
      </c>
      <c r="L19" s="41">
        <f t="shared" si="4"/>
        <v>1016.9491525423729</v>
      </c>
      <c r="M19" s="41">
        <v>1200</v>
      </c>
      <c r="N19" s="41"/>
      <c r="O19" s="10">
        <f t="shared" si="5"/>
        <v>955200</v>
      </c>
      <c r="P19" s="5"/>
      <c r="Q19" s="13" t="s">
        <v>132</v>
      </c>
      <c r="R19" s="13" t="s">
        <v>176</v>
      </c>
      <c r="S19" s="12">
        <v>0.3333333</v>
      </c>
      <c r="T19" s="10">
        <f t="shared" si="6"/>
        <v>318399.96815999999</v>
      </c>
      <c r="U19" s="35" t="s">
        <v>66</v>
      </c>
      <c r="V19" s="35"/>
      <c r="W19" s="40"/>
      <c r="X19" s="40"/>
      <c r="Y19" s="40"/>
      <c r="Z19" s="40"/>
      <c r="AA19" s="40"/>
      <c r="AB19" s="40"/>
      <c r="AC19" s="40"/>
      <c r="AD19" s="40"/>
      <c r="AE19" s="40"/>
    </row>
    <row r="20" spans="1:31">
      <c r="A20" s="39">
        <v>16</v>
      </c>
      <c r="B20" s="40" t="s">
        <v>155</v>
      </c>
      <c r="C20" s="31">
        <v>1</v>
      </c>
      <c r="D20" s="31" t="s">
        <v>146</v>
      </c>
      <c r="E20" s="31" t="s">
        <v>146</v>
      </c>
      <c r="F20" s="31" t="s">
        <v>145</v>
      </c>
      <c r="G20" s="78"/>
      <c r="H20" s="5" t="s">
        <v>144</v>
      </c>
      <c r="I20" s="5" t="s">
        <v>143</v>
      </c>
      <c r="J20" s="5"/>
      <c r="K20" s="8">
        <v>343</v>
      </c>
      <c r="L20" s="41">
        <f t="shared" si="4"/>
        <v>2000</v>
      </c>
      <c r="M20" s="41">
        <v>2360</v>
      </c>
      <c r="N20" s="41"/>
      <c r="O20" s="10">
        <f t="shared" si="5"/>
        <v>809480</v>
      </c>
      <c r="P20" s="5"/>
      <c r="Q20" s="13" t="s">
        <v>132</v>
      </c>
      <c r="R20" s="13" t="s">
        <v>177</v>
      </c>
      <c r="S20" s="12">
        <v>0.25</v>
      </c>
      <c r="T20" s="10">
        <f t="shared" si="6"/>
        <v>202370</v>
      </c>
      <c r="U20" s="35" t="s">
        <v>66</v>
      </c>
      <c r="V20" s="35"/>
      <c r="W20" s="40"/>
      <c r="X20" s="40"/>
      <c r="Y20" s="40"/>
      <c r="Z20" s="40"/>
      <c r="AA20" s="40"/>
      <c r="AB20" s="40"/>
      <c r="AC20" s="40"/>
      <c r="AD20" s="40"/>
      <c r="AE20" s="40"/>
    </row>
    <row r="21" spans="1:31">
      <c r="A21" s="39">
        <v>17</v>
      </c>
      <c r="B21" s="40" t="s">
        <v>156</v>
      </c>
      <c r="C21" s="31">
        <v>1</v>
      </c>
      <c r="D21" s="31" t="s">
        <v>146</v>
      </c>
      <c r="E21" s="31" t="s">
        <v>146</v>
      </c>
      <c r="F21" s="31" t="s">
        <v>145</v>
      </c>
      <c r="G21" s="78"/>
      <c r="H21" s="5" t="s">
        <v>144</v>
      </c>
      <c r="I21" s="5" t="s">
        <v>143</v>
      </c>
      <c r="J21" s="5"/>
      <c r="K21" s="8">
        <v>363</v>
      </c>
      <c r="L21" s="41">
        <f t="shared" si="4"/>
        <v>1800</v>
      </c>
      <c r="M21" s="41">
        <v>2124</v>
      </c>
      <c r="N21" s="41"/>
      <c r="O21" s="10">
        <f t="shared" si="5"/>
        <v>771012</v>
      </c>
      <c r="P21" s="5"/>
      <c r="Q21" s="13" t="s">
        <v>132</v>
      </c>
      <c r="R21" s="13" t="s">
        <v>179</v>
      </c>
      <c r="S21" s="12">
        <v>0.4</v>
      </c>
      <c r="T21" s="10">
        <f t="shared" si="6"/>
        <v>308404.8</v>
      </c>
      <c r="U21" s="35" t="s">
        <v>66</v>
      </c>
      <c r="V21" s="35"/>
      <c r="W21" s="40"/>
      <c r="X21" s="40"/>
      <c r="Y21" s="40"/>
      <c r="Z21" s="40"/>
      <c r="AA21" s="40"/>
      <c r="AB21" s="40"/>
      <c r="AC21" s="40"/>
      <c r="AD21" s="40"/>
      <c r="AE21" s="40"/>
    </row>
    <row r="22" spans="1:31">
      <c r="A22" s="39">
        <v>18</v>
      </c>
      <c r="B22" s="40" t="s">
        <v>157</v>
      </c>
      <c r="C22" s="31">
        <v>1</v>
      </c>
      <c r="D22" s="31" t="s">
        <v>146</v>
      </c>
      <c r="E22" s="31" t="s">
        <v>146</v>
      </c>
      <c r="F22" s="31" t="s">
        <v>145</v>
      </c>
      <c r="G22" s="78"/>
      <c r="H22" s="5" t="s">
        <v>144</v>
      </c>
      <c r="I22" s="5" t="s">
        <v>143</v>
      </c>
      <c r="J22" s="5"/>
      <c r="K22" s="8">
        <v>438</v>
      </c>
      <c r="L22" s="41">
        <f t="shared" si="4"/>
        <v>1016.9491525423729</v>
      </c>
      <c r="M22" s="41">
        <v>1200</v>
      </c>
      <c r="N22" s="41"/>
      <c r="O22" s="10">
        <f t="shared" si="5"/>
        <v>525600</v>
      </c>
      <c r="P22" s="5"/>
      <c r="Q22" s="13" t="s">
        <v>132</v>
      </c>
      <c r="R22" s="13" t="s">
        <v>180</v>
      </c>
      <c r="S22" s="12">
        <v>0.25</v>
      </c>
      <c r="T22" s="10">
        <f>O22*S22+1</f>
        <v>131401</v>
      </c>
      <c r="U22" s="35" t="s">
        <v>66</v>
      </c>
      <c r="V22" s="35"/>
      <c r="W22" s="40"/>
      <c r="X22" s="40"/>
      <c r="Y22" s="40"/>
      <c r="Z22" s="40"/>
      <c r="AA22" s="40"/>
      <c r="AB22" s="40"/>
      <c r="AC22" s="40"/>
      <c r="AD22" s="40"/>
      <c r="AE22" s="40"/>
    </row>
    <row r="23" spans="1:31">
      <c r="A23" s="4">
        <v>19</v>
      </c>
      <c r="B23" s="40" t="s">
        <v>158</v>
      </c>
      <c r="C23" s="31">
        <v>1</v>
      </c>
      <c r="D23" s="31" t="s">
        <v>146</v>
      </c>
      <c r="E23" s="31" t="s">
        <v>146</v>
      </c>
      <c r="F23" s="31" t="s">
        <v>145</v>
      </c>
      <c r="G23" s="78"/>
      <c r="H23" s="5" t="s">
        <v>144</v>
      </c>
      <c r="I23" s="5" t="s">
        <v>143</v>
      </c>
      <c r="J23" s="5"/>
      <c r="K23" s="8">
        <v>559</v>
      </c>
      <c r="L23" s="41">
        <f t="shared" si="4"/>
        <v>2500</v>
      </c>
      <c r="M23" s="41">
        <v>2950</v>
      </c>
      <c r="N23" s="41"/>
      <c r="O23" s="10">
        <f t="shared" si="5"/>
        <v>1649050</v>
      </c>
      <c r="P23" s="5"/>
      <c r="Q23" s="13" t="s">
        <v>132</v>
      </c>
      <c r="R23" s="13" t="s">
        <v>181</v>
      </c>
      <c r="S23" s="12">
        <v>0.25</v>
      </c>
      <c r="T23" s="10">
        <f>O23*S23</f>
        <v>412262.5</v>
      </c>
      <c r="U23" s="35" t="s">
        <v>66</v>
      </c>
      <c r="V23" s="35"/>
      <c r="W23" s="40"/>
      <c r="X23" s="40"/>
      <c r="Y23" s="40"/>
      <c r="Z23" s="40"/>
      <c r="AA23" s="40"/>
      <c r="AB23" s="40"/>
      <c r="AC23" s="40"/>
      <c r="AD23" s="40"/>
      <c r="AE23" s="40"/>
    </row>
    <row r="24" spans="1:31">
      <c r="A24" s="39">
        <v>20</v>
      </c>
      <c r="B24" s="40" t="s">
        <v>182</v>
      </c>
      <c r="C24" s="31">
        <v>1</v>
      </c>
      <c r="D24" s="31" t="s">
        <v>146</v>
      </c>
      <c r="E24" s="31" t="s">
        <v>146</v>
      </c>
      <c r="F24" s="31" t="s">
        <v>145</v>
      </c>
      <c r="G24" s="78"/>
      <c r="H24" s="5" t="s">
        <v>144</v>
      </c>
      <c r="I24" s="5" t="s">
        <v>143</v>
      </c>
      <c r="J24" s="5"/>
      <c r="K24" s="8">
        <v>162</v>
      </c>
      <c r="L24" s="41">
        <f t="shared" si="4"/>
        <v>1016.9491525423729</v>
      </c>
      <c r="M24" s="41">
        <v>1200</v>
      </c>
      <c r="N24" s="41"/>
      <c r="O24" s="10">
        <f t="shared" si="5"/>
        <v>194400</v>
      </c>
      <c r="P24" s="5"/>
      <c r="Q24" s="13" t="s">
        <v>132</v>
      </c>
      <c r="R24" s="13" t="s">
        <v>205</v>
      </c>
      <c r="S24" s="12">
        <v>1</v>
      </c>
      <c r="T24" s="10">
        <f>O24*S24</f>
        <v>194400</v>
      </c>
      <c r="U24" s="35" t="s">
        <v>61</v>
      </c>
      <c r="V24" s="35"/>
      <c r="W24" s="40"/>
      <c r="X24" s="40"/>
      <c r="Y24" s="40"/>
      <c r="Z24" s="40"/>
      <c r="AA24" s="40"/>
      <c r="AB24" s="40"/>
      <c r="AC24" s="40"/>
      <c r="AD24" s="40"/>
      <c r="AE24" s="40"/>
    </row>
    <row r="25" spans="1:31">
      <c r="A25" s="39">
        <v>21</v>
      </c>
      <c r="B25" s="40" t="s">
        <v>206</v>
      </c>
      <c r="C25" s="31">
        <v>1</v>
      </c>
      <c r="D25" s="31" t="s">
        <v>54</v>
      </c>
      <c r="E25" s="31" t="s">
        <v>54</v>
      </c>
      <c r="F25" s="31" t="s">
        <v>54</v>
      </c>
      <c r="G25" s="5" t="s">
        <v>207</v>
      </c>
      <c r="H25" s="5" t="s">
        <v>56</v>
      </c>
      <c r="I25" s="5" t="s">
        <v>57</v>
      </c>
      <c r="J25" s="5">
        <v>80</v>
      </c>
      <c r="K25" s="5">
        <v>69</v>
      </c>
      <c r="L25" s="41">
        <f t="shared" si="4"/>
        <v>847.45762711864404</v>
      </c>
      <c r="M25" s="41">
        <v>1000</v>
      </c>
      <c r="N25" s="10"/>
      <c r="O25" s="10">
        <f t="shared" si="5"/>
        <v>69000</v>
      </c>
      <c r="P25" s="5"/>
      <c r="Q25" s="13" t="s">
        <v>132</v>
      </c>
      <c r="R25" s="13" t="s">
        <v>230</v>
      </c>
      <c r="S25" s="12">
        <v>0.5</v>
      </c>
      <c r="T25" s="10">
        <f>O25*S25</f>
        <v>34500</v>
      </c>
      <c r="U25" s="35" t="s">
        <v>58</v>
      </c>
      <c r="V25" s="35"/>
      <c r="W25" s="40"/>
      <c r="X25" s="40"/>
      <c r="Y25" s="40"/>
      <c r="Z25" s="40"/>
      <c r="AA25" s="40"/>
      <c r="AB25" s="40"/>
      <c r="AC25" s="40"/>
      <c r="AD25" s="40"/>
      <c r="AE25" s="40"/>
    </row>
  </sheetData>
  <mergeCells count="4">
    <mergeCell ref="S3:U3"/>
    <mergeCell ref="W3:Y3"/>
    <mergeCell ref="Z3:AB3"/>
    <mergeCell ref="AC3:AE3"/>
  </mergeCells>
  <conditionalFormatting sqref="B5">
    <cfRule type="duplicateValues" dxfId="15" priority="8"/>
  </conditionalFormatting>
  <conditionalFormatting sqref="B6">
    <cfRule type="duplicateValues" dxfId="14" priority="7"/>
  </conditionalFormatting>
  <conditionalFormatting sqref="B7">
    <cfRule type="duplicateValues" dxfId="13" priority="6"/>
  </conditionalFormatting>
  <conditionalFormatting sqref="B8">
    <cfRule type="duplicateValues" dxfId="12" priority="5"/>
  </conditionalFormatting>
  <conditionalFormatting sqref="B9">
    <cfRule type="duplicateValues" dxfId="11" priority="4"/>
  </conditionalFormatting>
  <conditionalFormatting sqref="B11:B12">
    <cfRule type="duplicateValues" dxfId="10" priority="3"/>
  </conditionalFormatting>
  <conditionalFormatting sqref="B15:B16">
    <cfRule type="duplicateValues" dxfId="9" priority="11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7BA5E-1F9A-4796-BB42-B0F7D32F8E41}">
  <dimension ref="B3:G10"/>
  <sheetViews>
    <sheetView workbookViewId="0">
      <selection activeCell="B8" sqref="B8:E10"/>
    </sheetView>
  </sheetViews>
  <sheetFormatPr defaultRowHeight="15"/>
  <cols>
    <col min="2" max="2" width="10.140625" bestFit="1" customWidth="1"/>
    <col min="3" max="3" width="16.140625" bestFit="1" customWidth="1"/>
    <col min="4" max="4" width="12.28515625" bestFit="1" customWidth="1"/>
    <col min="5" max="5" width="19.42578125" bestFit="1" customWidth="1"/>
    <col min="6" max="6" width="10.7109375" bestFit="1" customWidth="1"/>
    <col min="7" max="7" width="11.140625" bestFit="1" customWidth="1"/>
  </cols>
  <sheetData>
    <row r="3" spans="2:7">
      <c r="B3" s="331" t="s">
        <v>219</v>
      </c>
      <c r="C3" s="331"/>
      <c r="D3" s="331"/>
      <c r="E3" s="331"/>
      <c r="F3" s="331"/>
      <c r="G3" s="331"/>
    </row>
    <row r="4" spans="2:7">
      <c r="B4" s="40" t="s">
        <v>215</v>
      </c>
      <c r="C4" s="117" t="s">
        <v>220</v>
      </c>
      <c r="D4" s="40" t="s">
        <v>216</v>
      </c>
      <c r="E4" s="117" t="s">
        <v>221</v>
      </c>
      <c r="F4" s="40" t="s">
        <v>214</v>
      </c>
      <c r="G4" s="40" t="s">
        <v>217</v>
      </c>
    </row>
    <row r="5" spans="2:7">
      <c r="B5" s="116">
        <v>45777</v>
      </c>
      <c r="C5" s="118" t="s">
        <v>222</v>
      </c>
      <c r="D5" s="73">
        <v>208860</v>
      </c>
      <c r="E5" s="119" t="s">
        <v>223</v>
      </c>
      <c r="F5" s="73">
        <v>-2360</v>
      </c>
      <c r="G5" s="73">
        <f>D5+F5</f>
        <v>206500</v>
      </c>
    </row>
    <row r="6" spans="2:7">
      <c r="B6" s="116">
        <v>45808</v>
      </c>
      <c r="C6" s="118" t="s">
        <v>164</v>
      </c>
      <c r="D6" s="73">
        <v>55460</v>
      </c>
      <c r="E6" s="119" t="s">
        <v>224</v>
      </c>
      <c r="F6" s="73">
        <v>-55460</v>
      </c>
      <c r="G6" s="73">
        <f>D6+F6</f>
        <v>0</v>
      </c>
    </row>
    <row r="8" spans="2:7">
      <c r="B8" s="332" t="s">
        <v>218</v>
      </c>
      <c r="C8" s="332"/>
      <c r="D8" s="332"/>
      <c r="E8" s="332"/>
      <c r="F8" s="90"/>
      <c r="G8" s="90"/>
    </row>
    <row r="9" spans="2:7">
      <c r="B9" s="40"/>
      <c r="C9" s="117" t="s">
        <v>220</v>
      </c>
      <c r="D9" s="40" t="s">
        <v>216</v>
      </c>
      <c r="E9" s="40" t="s">
        <v>217</v>
      </c>
    </row>
    <row r="10" spans="2:7">
      <c r="B10" s="116">
        <v>45456</v>
      </c>
      <c r="C10" s="118" t="s">
        <v>225</v>
      </c>
      <c r="D10" s="73">
        <v>40120</v>
      </c>
      <c r="E10" s="73">
        <f>D10</f>
        <v>40120</v>
      </c>
    </row>
  </sheetData>
  <mergeCells count="2">
    <mergeCell ref="B3:G3"/>
    <mergeCell ref="B8:E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725E-47D5-4FFB-96C2-491C608E595B}">
  <dimension ref="B2:G26"/>
  <sheetViews>
    <sheetView workbookViewId="0">
      <selection activeCell="D1" sqref="D1"/>
    </sheetView>
  </sheetViews>
  <sheetFormatPr defaultRowHeight="15"/>
  <cols>
    <col min="2" max="2" width="25.7109375" bestFit="1" customWidth="1"/>
    <col min="3" max="3" width="24.42578125" bestFit="1" customWidth="1"/>
    <col min="4" max="4" width="24.7109375" bestFit="1" customWidth="1"/>
    <col min="5" max="5" width="13.85546875" bestFit="1" customWidth="1"/>
    <col min="6" max="6" width="17.140625" bestFit="1" customWidth="1"/>
    <col min="7" max="7" width="13.140625" bestFit="1" customWidth="1"/>
  </cols>
  <sheetData>
    <row r="2" spans="2:6">
      <c r="B2" s="40" t="s">
        <v>148</v>
      </c>
      <c r="C2" s="40" t="s">
        <v>149</v>
      </c>
      <c r="D2" s="40" t="s">
        <v>152</v>
      </c>
      <c r="E2" s="40" t="s">
        <v>150</v>
      </c>
      <c r="F2" s="40" t="s">
        <v>151</v>
      </c>
    </row>
    <row r="3" spans="2:6">
      <c r="B3" s="40">
        <v>100</v>
      </c>
      <c r="C3" s="40">
        <v>2950</v>
      </c>
      <c r="D3" s="73">
        <f>B3*C3</f>
        <v>295000</v>
      </c>
      <c r="E3" s="73">
        <f>D3*20%</f>
        <v>59000</v>
      </c>
      <c r="F3" s="73">
        <f>E3*25%</f>
        <v>14750</v>
      </c>
    </row>
    <row r="9" spans="2:6">
      <c r="B9" s="90" t="s">
        <v>187</v>
      </c>
    </row>
    <row r="10" spans="2:6">
      <c r="B10" t="s">
        <v>188</v>
      </c>
      <c r="C10">
        <v>120</v>
      </c>
    </row>
    <row r="11" spans="2:6">
      <c r="B11" s="100" t="s">
        <v>202</v>
      </c>
      <c r="C11" s="81">
        <v>1500</v>
      </c>
    </row>
    <row r="12" spans="2:6" ht="15.75" thickBot="1">
      <c r="B12" s="101" t="s">
        <v>201</v>
      </c>
      <c r="C12" s="102">
        <f>C11*C10</f>
        <v>180000</v>
      </c>
    </row>
    <row r="13" spans="2:6" ht="15.75" thickTop="1"/>
    <row r="14" spans="2:6">
      <c r="B14" s="85" t="s">
        <v>189</v>
      </c>
      <c r="C14" s="82">
        <f>C12*100/118</f>
        <v>152542.37288135593</v>
      </c>
    </row>
    <row r="15" spans="2:6">
      <c r="B15" s="86" t="s">
        <v>190</v>
      </c>
      <c r="C15" s="83">
        <f>C14*18%</f>
        <v>27457.627118644064</v>
      </c>
    </row>
    <row r="16" spans="2:6">
      <c r="B16" s="87" t="s">
        <v>191</v>
      </c>
      <c r="C16" s="103">
        <f>C14+C15</f>
        <v>180000</v>
      </c>
    </row>
    <row r="17" spans="2:7">
      <c r="B17" s="87"/>
      <c r="C17" s="84"/>
    </row>
    <row r="18" spans="2:7">
      <c r="B18" s="96"/>
      <c r="C18" s="91" t="s">
        <v>193</v>
      </c>
      <c r="D18" s="106" t="s">
        <v>194</v>
      </c>
    </row>
    <row r="19" spans="2:7">
      <c r="B19" s="97" t="s">
        <v>192</v>
      </c>
      <c r="C19" s="104">
        <f>C14*25%</f>
        <v>38135.593220338982</v>
      </c>
      <c r="D19" s="93">
        <f>C19</f>
        <v>38135.593220338982</v>
      </c>
      <c r="E19" s="88"/>
      <c r="F19" s="89"/>
      <c r="G19" s="88"/>
    </row>
    <row r="20" spans="2:7">
      <c r="B20" s="99" t="s">
        <v>199</v>
      </c>
      <c r="C20" s="105">
        <f>C19*18%</f>
        <v>6864.4067796610161</v>
      </c>
      <c r="D20" s="94">
        <f>D19*18%</f>
        <v>6864.4067796610161</v>
      </c>
      <c r="F20" s="89"/>
    </row>
    <row r="21" spans="2:7">
      <c r="B21" s="98" t="s">
        <v>195</v>
      </c>
      <c r="C21" s="104">
        <f>C19+C20</f>
        <v>45000</v>
      </c>
      <c r="D21" s="93">
        <f>D19+D20</f>
        <v>45000</v>
      </c>
      <c r="E21" s="88"/>
      <c r="F21" s="89"/>
      <c r="G21" s="88"/>
    </row>
    <row r="22" spans="2:7">
      <c r="B22" s="99" t="s">
        <v>198</v>
      </c>
      <c r="C22" s="105">
        <v>763</v>
      </c>
      <c r="D22" s="94">
        <v>763</v>
      </c>
    </row>
    <row r="23" spans="2:7">
      <c r="B23" s="97" t="s">
        <v>196</v>
      </c>
      <c r="C23" s="104">
        <f>C21-C22</f>
        <v>44237</v>
      </c>
      <c r="D23" s="93">
        <f>D21-D22</f>
        <v>44237</v>
      </c>
    </row>
    <row r="24" spans="2:7">
      <c r="B24" s="99" t="s">
        <v>200</v>
      </c>
      <c r="C24" s="105">
        <v>20000</v>
      </c>
      <c r="D24" s="94">
        <v>0</v>
      </c>
    </row>
    <row r="25" spans="2:7" ht="15.75" thickBot="1">
      <c r="B25" s="99" t="s">
        <v>197</v>
      </c>
      <c r="C25" s="92">
        <f>C23-C24</f>
        <v>24237</v>
      </c>
      <c r="D25" s="95">
        <f>D23-D24</f>
        <v>44237</v>
      </c>
    </row>
    <row r="26" spans="2:7" ht="15.75" thickTop="1"/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80DF4-9B5B-44F0-BAFC-E475969E0836}">
  <dimension ref="A1:BG23"/>
  <sheetViews>
    <sheetView topLeftCell="A8" workbookViewId="0">
      <selection activeCell="D26" sqref="D26"/>
    </sheetView>
  </sheetViews>
  <sheetFormatPr defaultRowHeight="15"/>
  <cols>
    <col min="1" max="1" width="6.85546875" bestFit="1" customWidth="1"/>
    <col min="2" max="2" width="38.7109375" bestFit="1" customWidth="1"/>
    <col min="3" max="3" width="7.7109375" bestFit="1" customWidth="1"/>
    <col min="4" max="4" width="12.7109375" bestFit="1" customWidth="1"/>
    <col min="5" max="5" width="13.140625" bestFit="1" customWidth="1"/>
    <col min="6" max="6" width="5" bestFit="1" customWidth="1"/>
    <col min="7" max="7" width="31" bestFit="1" customWidth="1"/>
    <col min="8" max="8" width="8.42578125" bestFit="1" customWidth="1"/>
    <col min="9" max="9" width="11.140625" bestFit="1" customWidth="1"/>
    <col min="10" max="10" width="14.85546875" bestFit="1" customWidth="1"/>
    <col min="11" max="11" width="21" bestFit="1" customWidth="1"/>
    <col min="12" max="14" width="14.140625" bestFit="1" customWidth="1"/>
    <col min="16" max="16" width="14.28515625" bestFit="1" customWidth="1"/>
    <col min="17" max="17" width="3.42578125" bestFit="1" customWidth="1"/>
    <col min="18" max="18" width="8.140625" bestFit="1" customWidth="1"/>
    <col min="19" max="19" width="7" bestFit="1" customWidth="1"/>
    <col min="20" max="20" width="4.42578125" bestFit="1" customWidth="1"/>
    <col min="21" max="21" width="8.140625" bestFit="1" customWidth="1"/>
    <col min="22" max="22" width="7" bestFit="1" customWidth="1"/>
    <col min="23" max="23" width="2.42578125" bestFit="1" customWidth="1"/>
    <col min="24" max="24" width="8.140625" bestFit="1" customWidth="1"/>
    <col min="25" max="25" width="7" bestFit="1" customWidth="1"/>
    <col min="26" max="26" width="2.42578125" bestFit="1" customWidth="1"/>
    <col min="27" max="27" width="8.140625" bestFit="1" customWidth="1"/>
    <col min="28" max="28" width="7" bestFit="1" customWidth="1"/>
  </cols>
  <sheetData>
    <row r="1" spans="1:59" s="1" customFormat="1">
      <c r="A1" s="2" t="s">
        <v>0</v>
      </c>
      <c r="C1" s="21"/>
      <c r="D1" s="21"/>
      <c r="E1" s="6"/>
      <c r="F1" s="6"/>
      <c r="G1" s="2"/>
      <c r="H1" s="2"/>
      <c r="R1" s="15"/>
      <c r="S1" s="15"/>
    </row>
    <row r="2" spans="1:59" s="1" customFormat="1">
      <c r="A2" s="2" t="s">
        <v>1</v>
      </c>
      <c r="B2" s="3"/>
      <c r="C2" s="42"/>
      <c r="D2" s="42"/>
      <c r="E2" s="21"/>
      <c r="F2" s="21"/>
      <c r="AD2" s="334" t="s">
        <v>2</v>
      </c>
      <c r="AE2" s="334"/>
      <c r="AF2" s="334"/>
      <c r="AG2" s="334"/>
      <c r="AH2" s="334"/>
      <c r="AI2" s="334"/>
      <c r="AJ2" s="334"/>
      <c r="AK2" s="334"/>
      <c r="AL2" s="334"/>
      <c r="AM2" s="334"/>
      <c r="AN2" s="334"/>
      <c r="AO2" s="334"/>
    </row>
    <row r="3" spans="1:59" s="1" customFormat="1" ht="27" customHeight="1">
      <c r="A3" s="2"/>
      <c r="B3" s="3"/>
      <c r="C3" s="42"/>
      <c r="D3" s="42"/>
      <c r="E3" s="21"/>
      <c r="F3" s="21"/>
      <c r="Q3" s="328" t="s">
        <v>3</v>
      </c>
      <c r="R3" s="335"/>
      <c r="S3" s="336"/>
      <c r="T3" s="329" t="s">
        <v>4</v>
      </c>
      <c r="U3" s="337"/>
      <c r="V3" s="338"/>
      <c r="W3" s="330" t="s">
        <v>5</v>
      </c>
      <c r="X3" s="330"/>
      <c r="Y3" s="330"/>
      <c r="Z3" s="307" t="s">
        <v>6</v>
      </c>
      <c r="AA3" s="307"/>
      <c r="AB3" s="307"/>
      <c r="AC3" s="21"/>
      <c r="AD3" s="52" t="s">
        <v>7</v>
      </c>
      <c r="AE3" s="52" t="s">
        <v>8</v>
      </c>
      <c r="AF3" s="52" t="s">
        <v>9</v>
      </c>
      <c r="AG3" s="52" t="s">
        <v>10</v>
      </c>
      <c r="AH3" s="52" t="s">
        <v>11</v>
      </c>
      <c r="AI3" s="52" t="s">
        <v>12</v>
      </c>
      <c r="AJ3" s="52" t="s">
        <v>13</v>
      </c>
      <c r="AK3" s="52" t="s">
        <v>14</v>
      </c>
      <c r="AL3" s="52" t="s">
        <v>15</v>
      </c>
      <c r="AM3" s="52" t="s">
        <v>16</v>
      </c>
      <c r="AN3" s="52" t="s">
        <v>17</v>
      </c>
      <c r="AO3" s="52" t="s">
        <v>18</v>
      </c>
      <c r="AR3" s="298" t="s">
        <v>19</v>
      </c>
      <c r="AS3" s="54" t="s">
        <v>20</v>
      </c>
      <c r="AT3" s="54" t="s">
        <v>21</v>
      </c>
      <c r="AU3" s="54" t="s">
        <v>22</v>
      </c>
      <c r="AV3" s="54" t="s">
        <v>23</v>
      </c>
      <c r="AW3" s="54" t="s">
        <v>24</v>
      </c>
      <c r="AX3" s="54"/>
      <c r="AZ3" s="54" t="s">
        <v>25</v>
      </c>
      <c r="BA3" s="54" t="s">
        <v>26</v>
      </c>
    </row>
    <row r="4" spans="1:59" s="1" customFormat="1" ht="44.25" customHeight="1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 t="s">
        <v>36</v>
      </c>
      <c r="I4" s="4" t="s">
        <v>37</v>
      </c>
      <c r="J4" s="4" t="s">
        <v>38</v>
      </c>
      <c r="K4" s="4" t="s">
        <v>39</v>
      </c>
      <c r="L4" s="4" t="s">
        <v>40</v>
      </c>
      <c r="M4" s="4" t="s">
        <v>41</v>
      </c>
      <c r="N4" s="4" t="s">
        <v>42</v>
      </c>
      <c r="O4" s="4" t="s">
        <v>43</v>
      </c>
      <c r="P4" s="4" t="s">
        <v>44</v>
      </c>
      <c r="Q4" s="7" t="s">
        <v>45</v>
      </c>
      <c r="R4" s="7" t="s">
        <v>46</v>
      </c>
      <c r="S4" s="7" t="s">
        <v>47</v>
      </c>
      <c r="T4" s="17" t="s">
        <v>45</v>
      </c>
      <c r="U4" s="17" t="s">
        <v>46</v>
      </c>
      <c r="V4" s="17" t="s">
        <v>47</v>
      </c>
      <c r="W4" s="18" t="s">
        <v>45</v>
      </c>
      <c r="X4" s="18" t="s">
        <v>46</v>
      </c>
      <c r="Y4" s="18" t="s">
        <v>47</v>
      </c>
      <c r="Z4" s="19" t="s">
        <v>45</v>
      </c>
      <c r="AA4" s="19" t="s">
        <v>46</v>
      </c>
      <c r="AB4" s="19" t="s">
        <v>47</v>
      </c>
      <c r="AD4" s="5">
        <v>1700.36</v>
      </c>
      <c r="AE4" s="5">
        <v>3908.31</v>
      </c>
      <c r="AF4" s="5">
        <v>744.45</v>
      </c>
      <c r="AG4" s="5">
        <v>3883.32</v>
      </c>
      <c r="AH4" s="5">
        <v>2301.4699999999998</v>
      </c>
      <c r="AI4" s="5">
        <v>1382.09</v>
      </c>
      <c r="AJ4" s="5">
        <v>2301.4699999999998</v>
      </c>
      <c r="AK4" s="5">
        <v>1430.35</v>
      </c>
      <c r="AL4" s="5">
        <v>3908.09</v>
      </c>
      <c r="AM4" s="5">
        <v>1382.09</v>
      </c>
      <c r="AN4" s="5">
        <v>1807.18</v>
      </c>
      <c r="AO4" s="5">
        <v>2304.23</v>
      </c>
      <c r="AP4" s="55" t="s">
        <v>48</v>
      </c>
      <c r="AR4" s="298"/>
      <c r="AS4" s="56">
        <v>0.02</v>
      </c>
      <c r="AT4" s="56">
        <v>0.25</v>
      </c>
      <c r="AU4" s="53">
        <v>254</v>
      </c>
      <c r="AV4" s="53">
        <v>213</v>
      </c>
      <c r="AW4" s="53">
        <v>25</v>
      </c>
      <c r="AX4" s="53" t="s">
        <v>49</v>
      </c>
      <c r="AZ4" s="56">
        <v>0.05</v>
      </c>
      <c r="BA4" s="56">
        <v>0.25</v>
      </c>
      <c r="BB4" s="28"/>
      <c r="BC4" s="53" t="s">
        <v>27</v>
      </c>
      <c r="BD4" s="28"/>
      <c r="BE4" s="57" t="s">
        <v>50</v>
      </c>
      <c r="BF4" s="28"/>
      <c r="BG4" s="57" t="s">
        <v>51</v>
      </c>
    </row>
    <row r="5" spans="1:59" s="1" customFormat="1">
      <c r="A5" s="4"/>
      <c r="B5" s="5" t="s">
        <v>64</v>
      </c>
      <c r="C5" s="31">
        <v>1</v>
      </c>
      <c r="D5" s="31" t="s">
        <v>54</v>
      </c>
      <c r="E5" s="31" t="s">
        <v>54</v>
      </c>
      <c r="F5" s="31" t="s">
        <v>54</v>
      </c>
      <c r="G5" s="5" t="s">
        <v>105</v>
      </c>
      <c r="H5" s="5" t="s">
        <v>56</v>
      </c>
      <c r="I5" s="5" t="s">
        <v>57</v>
      </c>
      <c r="J5" s="5"/>
      <c r="K5" s="11"/>
      <c r="L5" s="9">
        <v>2100</v>
      </c>
      <c r="M5" s="10">
        <v>2478</v>
      </c>
      <c r="N5" s="10"/>
      <c r="O5" s="10"/>
      <c r="P5" s="13"/>
      <c r="Q5" s="12"/>
      <c r="R5" s="10"/>
      <c r="S5" s="22"/>
      <c r="T5" s="12"/>
      <c r="U5" s="10"/>
      <c r="V5" s="23"/>
      <c r="W5" s="12"/>
      <c r="X5" s="10"/>
      <c r="Y5" s="23"/>
      <c r="Z5" s="12"/>
      <c r="AA5" s="10"/>
      <c r="AB5" s="23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7"/>
      <c r="AQ5" s="27"/>
      <c r="AR5" s="27"/>
      <c r="AS5" s="27"/>
      <c r="AT5" s="27"/>
      <c r="AU5" s="27"/>
      <c r="AV5" s="27"/>
      <c r="AW5" s="27"/>
      <c r="AX5" s="27"/>
      <c r="AZ5" s="15"/>
      <c r="BA5" s="15"/>
      <c r="BC5" s="27"/>
      <c r="BE5" s="15"/>
      <c r="BG5" s="15"/>
    </row>
    <row r="6" spans="1:59" s="1" customFormat="1">
      <c r="A6" s="4"/>
      <c r="B6" s="38" t="s">
        <v>106</v>
      </c>
      <c r="C6" s="31">
        <v>1</v>
      </c>
      <c r="D6" s="31" t="s">
        <v>54</v>
      </c>
      <c r="E6" s="31" t="s">
        <v>54</v>
      </c>
      <c r="F6" s="31"/>
      <c r="G6" s="5" t="s">
        <v>105</v>
      </c>
      <c r="H6" s="5" t="s">
        <v>56</v>
      </c>
      <c r="I6" s="5" t="s">
        <v>57</v>
      </c>
      <c r="J6" s="5"/>
      <c r="K6" s="11"/>
      <c r="L6" s="9">
        <v>2100</v>
      </c>
      <c r="M6" s="10">
        <v>2478</v>
      </c>
      <c r="N6" s="10"/>
      <c r="O6" s="10"/>
      <c r="P6" s="13"/>
      <c r="Q6" s="12"/>
      <c r="R6" s="10"/>
      <c r="S6" s="22"/>
      <c r="T6" s="12"/>
      <c r="U6" s="10"/>
      <c r="V6" s="23"/>
      <c r="W6" s="12"/>
      <c r="X6" s="10"/>
      <c r="Y6" s="23"/>
      <c r="Z6" s="12"/>
      <c r="AA6" s="10"/>
      <c r="AB6" s="23"/>
      <c r="AD6" s="2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7"/>
      <c r="AQ6" s="27"/>
      <c r="AR6" s="27"/>
      <c r="AS6" s="27"/>
      <c r="AT6" s="27"/>
      <c r="AU6" s="27"/>
      <c r="AV6" s="27"/>
      <c r="AW6" s="27"/>
      <c r="AX6" s="27"/>
      <c r="AZ6" s="15"/>
      <c r="BA6" s="15"/>
      <c r="BC6" s="27"/>
      <c r="BE6" s="15"/>
      <c r="BG6" s="15"/>
    </row>
    <row r="7" spans="1:59" s="1" customFormat="1">
      <c r="A7" s="4"/>
      <c r="B7" s="5" t="s">
        <v>70</v>
      </c>
      <c r="C7" s="31">
        <v>1</v>
      </c>
      <c r="D7" s="31" t="s">
        <v>54</v>
      </c>
      <c r="E7" s="31" t="s">
        <v>54</v>
      </c>
      <c r="F7" s="31" t="s">
        <v>54</v>
      </c>
      <c r="G7" s="5" t="s">
        <v>105</v>
      </c>
      <c r="H7" s="5" t="s">
        <v>71</v>
      </c>
      <c r="I7" s="5" t="s">
        <v>57</v>
      </c>
      <c r="J7" s="5"/>
      <c r="K7" s="11"/>
      <c r="L7" s="9">
        <v>1500</v>
      </c>
      <c r="M7" s="10">
        <v>1770</v>
      </c>
      <c r="N7" s="10"/>
      <c r="O7" s="10"/>
      <c r="P7" s="13"/>
      <c r="Q7" s="12"/>
      <c r="R7" s="10"/>
      <c r="S7" s="22"/>
      <c r="T7" s="12"/>
      <c r="U7" s="10"/>
      <c r="V7" s="23"/>
      <c r="W7" s="10"/>
      <c r="X7" s="10"/>
      <c r="Y7" s="10"/>
      <c r="Z7" s="10"/>
      <c r="AA7" s="10"/>
      <c r="AB7" s="10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7"/>
      <c r="AQ7" s="27"/>
      <c r="AR7" s="27"/>
      <c r="AS7" s="27"/>
      <c r="AT7" s="27"/>
      <c r="AU7" s="27">
        <f>IFERROR(K7*'STEAM 2026-27PD '!$BI$4,0)</f>
        <v>0</v>
      </c>
      <c r="AV7" s="27">
        <f>IFERROR(K7*'STEAM 2026-27PD '!$BJ$4,0)</f>
        <v>0</v>
      </c>
      <c r="AW7" s="27"/>
      <c r="AX7" s="27"/>
      <c r="AZ7" s="15"/>
      <c r="BA7" s="15"/>
      <c r="BC7" s="27"/>
      <c r="BE7" s="15"/>
      <c r="BG7" s="15"/>
    </row>
    <row r="8" spans="1:59" s="1" customFormat="1">
      <c r="A8" s="4"/>
      <c r="B8" s="5" t="s">
        <v>72</v>
      </c>
      <c r="C8" s="31">
        <v>1</v>
      </c>
      <c r="D8" s="31" t="s">
        <v>54</v>
      </c>
      <c r="E8" s="31" t="s">
        <v>54</v>
      </c>
      <c r="F8" s="31" t="s">
        <v>54</v>
      </c>
      <c r="G8" s="5" t="s">
        <v>105</v>
      </c>
      <c r="H8" s="5" t="s">
        <v>71</v>
      </c>
      <c r="I8" s="5" t="s">
        <v>57</v>
      </c>
      <c r="J8" s="5"/>
      <c r="K8" s="11"/>
      <c r="L8" s="9">
        <v>1500</v>
      </c>
      <c r="M8" s="10">
        <v>1770</v>
      </c>
      <c r="N8" s="10"/>
      <c r="O8" s="10"/>
      <c r="P8" s="13"/>
      <c r="Q8" s="12"/>
      <c r="R8" s="10"/>
      <c r="S8" s="22"/>
      <c r="T8" s="12"/>
      <c r="U8" s="10"/>
      <c r="V8" s="23"/>
      <c r="W8" s="10"/>
      <c r="X8" s="10"/>
      <c r="Y8" s="10"/>
      <c r="Z8" s="10"/>
      <c r="AA8" s="10"/>
      <c r="AB8" s="10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7"/>
      <c r="AQ8" s="27"/>
      <c r="AR8" s="27"/>
      <c r="AS8" s="27"/>
      <c r="AT8" s="27"/>
      <c r="AU8" s="27"/>
      <c r="AV8" s="27"/>
      <c r="AW8" s="27"/>
      <c r="AX8" s="27"/>
      <c r="AZ8" s="15"/>
      <c r="BA8" s="15"/>
      <c r="BC8" s="27"/>
      <c r="BE8" s="15"/>
      <c r="BG8" s="15"/>
    </row>
    <row r="9" spans="1:59" s="1" customFormat="1">
      <c r="A9" s="4"/>
      <c r="B9" s="5" t="s">
        <v>88</v>
      </c>
      <c r="C9" s="31">
        <v>1</v>
      </c>
      <c r="D9" s="31" t="s">
        <v>54</v>
      </c>
      <c r="E9" s="31" t="s">
        <v>54</v>
      </c>
      <c r="F9" s="31" t="s">
        <v>54</v>
      </c>
      <c r="G9" s="5" t="s">
        <v>105</v>
      </c>
      <c r="H9" s="5" t="s">
        <v>56</v>
      </c>
      <c r="I9" s="5" t="s">
        <v>57</v>
      </c>
      <c r="J9" s="10"/>
      <c r="K9" s="5"/>
      <c r="L9" s="30">
        <v>1118.6400000000001</v>
      </c>
      <c r="M9" s="10">
        <v>1320</v>
      </c>
      <c r="N9" s="10"/>
      <c r="O9" s="10"/>
      <c r="P9" s="13"/>
      <c r="Q9" s="12"/>
      <c r="R9" s="10"/>
      <c r="S9" s="35"/>
      <c r="T9" s="12"/>
      <c r="U9" s="10"/>
      <c r="V9" s="37"/>
      <c r="W9" s="12"/>
      <c r="X9" s="10"/>
      <c r="Y9" s="23"/>
      <c r="Z9" s="12"/>
      <c r="AA9" s="10"/>
      <c r="AB9" s="23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7"/>
      <c r="AQ9" s="27"/>
      <c r="AR9" s="27"/>
      <c r="AS9" s="27"/>
      <c r="AT9" s="27"/>
      <c r="AU9" s="27"/>
      <c r="AV9" s="27"/>
      <c r="AW9" s="27"/>
      <c r="AX9" s="27"/>
      <c r="AZ9" s="15"/>
      <c r="BA9" s="15"/>
      <c r="BC9" s="27"/>
      <c r="BE9" s="15"/>
      <c r="BG9" s="15"/>
    </row>
    <row r="10" spans="1:59">
      <c r="A10" s="40"/>
      <c r="B10" s="5" t="s">
        <v>52</v>
      </c>
      <c r="C10" s="31">
        <v>1</v>
      </c>
      <c r="D10" s="31"/>
      <c r="E10" s="31" t="s">
        <v>53</v>
      </c>
      <c r="F10" s="31" t="s">
        <v>54</v>
      </c>
      <c r="G10" s="5" t="s">
        <v>105</v>
      </c>
      <c r="H10" s="5" t="s">
        <v>56</v>
      </c>
      <c r="I10" s="5" t="s">
        <v>57</v>
      </c>
      <c r="J10" s="5"/>
      <c r="K10" s="8"/>
      <c r="L10" s="44">
        <v>2000</v>
      </c>
      <c r="M10" s="45">
        <f t="shared" ref="M10:M15" si="0">L10*1.18</f>
        <v>2360</v>
      </c>
      <c r="N10" s="10">
        <f t="shared" ref="N10:N15" si="1">IFERROR(K10*M10,0)</f>
        <v>0</v>
      </c>
      <c r="O10" s="10"/>
      <c r="P10" s="13"/>
      <c r="Q10" s="32"/>
      <c r="R10" s="32"/>
      <c r="S10" s="32"/>
      <c r="T10" s="32"/>
      <c r="U10" s="32"/>
      <c r="V10" s="33"/>
      <c r="W10" s="32"/>
      <c r="X10" s="32"/>
      <c r="Y10" s="32"/>
      <c r="Z10" s="32"/>
      <c r="AA10" s="32"/>
      <c r="AB10" s="32"/>
    </row>
    <row r="11" spans="1:59">
      <c r="A11" s="40"/>
      <c r="B11" s="5" t="s">
        <v>73</v>
      </c>
      <c r="C11" s="31">
        <v>1</v>
      </c>
      <c r="D11" s="31" t="s">
        <v>54</v>
      </c>
      <c r="E11" s="31" t="s">
        <v>54</v>
      </c>
      <c r="F11" s="31" t="s">
        <v>54</v>
      </c>
      <c r="G11" s="5" t="s">
        <v>105</v>
      </c>
      <c r="H11" s="5" t="s">
        <v>56</v>
      </c>
      <c r="I11" s="5" t="s">
        <v>57</v>
      </c>
      <c r="J11" s="5"/>
      <c r="K11" s="8"/>
      <c r="L11" s="45">
        <v>1800</v>
      </c>
      <c r="M11" s="45">
        <f t="shared" si="0"/>
        <v>2124</v>
      </c>
      <c r="N11" s="10">
        <f t="shared" si="1"/>
        <v>0</v>
      </c>
      <c r="O11" s="333"/>
      <c r="P11" s="13"/>
      <c r="Q11" s="12">
        <v>0.05</v>
      </c>
      <c r="R11" s="10">
        <f t="shared" ref="R11:R14" si="2">N11*25%</f>
        <v>0</v>
      </c>
      <c r="S11" s="22"/>
      <c r="T11" s="12">
        <f t="shared" ref="T11:T14" si="3">1-Q11</f>
        <v>0.95</v>
      </c>
      <c r="U11" s="10">
        <f t="shared" ref="U11:U15" si="4">N11*T11</f>
        <v>0</v>
      </c>
      <c r="V11" s="23"/>
      <c r="W11" s="10">
        <v>0</v>
      </c>
      <c r="X11" s="10">
        <f t="shared" ref="X11:X15" si="5">N11*W11</f>
        <v>0</v>
      </c>
      <c r="Y11" s="10">
        <v>0</v>
      </c>
      <c r="Z11" s="10">
        <v>0</v>
      </c>
      <c r="AA11" s="10">
        <f t="shared" ref="AA11:AA14" si="6">N11*Z11</f>
        <v>0</v>
      </c>
      <c r="AB11" s="10">
        <v>0</v>
      </c>
    </row>
    <row r="12" spans="1:59">
      <c r="A12" s="40"/>
      <c r="B12" s="5" t="s">
        <v>74</v>
      </c>
      <c r="C12" s="31">
        <v>1</v>
      </c>
      <c r="D12" s="31" t="s">
        <v>54</v>
      </c>
      <c r="E12" s="31" t="s">
        <v>54</v>
      </c>
      <c r="F12" s="31" t="s">
        <v>54</v>
      </c>
      <c r="G12" s="5" t="s">
        <v>105</v>
      </c>
      <c r="H12" s="5" t="s">
        <v>75</v>
      </c>
      <c r="I12" s="5" t="s">
        <v>57</v>
      </c>
      <c r="J12" s="5"/>
      <c r="K12" s="40"/>
      <c r="L12" s="45">
        <v>1800</v>
      </c>
      <c r="M12" s="45">
        <f t="shared" si="0"/>
        <v>2124</v>
      </c>
      <c r="N12" s="10">
        <f t="shared" si="1"/>
        <v>0</v>
      </c>
      <c r="O12" s="333"/>
      <c r="P12" s="13"/>
      <c r="Q12" s="12">
        <v>0.05</v>
      </c>
      <c r="R12" s="10">
        <f t="shared" si="2"/>
        <v>0</v>
      </c>
      <c r="S12" s="22"/>
      <c r="T12" s="12">
        <f t="shared" si="3"/>
        <v>0.95</v>
      </c>
      <c r="U12" s="10">
        <f t="shared" si="4"/>
        <v>0</v>
      </c>
      <c r="V12" s="23"/>
      <c r="W12" s="10">
        <v>0</v>
      </c>
      <c r="X12" s="10">
        <f t="shared" si="5"/>
        <v>0</v>
      </c>
      <c r="Y12" s="10">
        <v>0</v>
      </c>
      <c r="Z12" s="10">
        <v>0</v>
      </c>
      <c r="AA12" s="10">
        <f t="shared" si="6"/>
        <v>0</v>
      </c>
      <c r="AB12" s="10">
        <v>0</v>
      </c>
    </row>
    <row r="13" spans="1:59">
      <c r="A13" s="40"/>
      <c r="B13" s="5" t="s">
        <v>76</v>
      </c>
      <c r="C13" s="31">
        <v>1</v>
      </c>
      <c r="D13" s="31" t="s">
        <v>54</v>
      </c>
      <c r="E13" s="31" t="s">
        <v>54</v>
      </c>
      <c r="F13" s="31" t="s">
        <v>54</v>
      </c>
      <c r="G13" s="5" t="s">
        <v>105</v>
      </c>
      <c r="H13" s="5" t="s">
        <v>77</v>
      </c>
      <c r="I13" s="5" t="s">
        <v>57</v>
      </c>
      <c r="J13" s="5"/>
      <c r="K13" s="40"/>
      <c r="L13" s="45">
        <v>1800</v>
      </c>
      <c r="M13" s="45">
        <f t="shared" si="0"/>
        <v>2124</v>
      </c>
      <c r="N13" s="10">
        <f t="shared" si="1"/>
        <v>0</v>
      </c>
      <c r="O13" s="333"/>
      <c r="P13" s="13"/>
      <c r="Q13" s="12">
        <v>0.05</v>
      </c>
      <c r="R13" s="10">
        <f t="shared" si="2"/>
        <v>0</v>
      </c>
      <c r="S13" s="22"/>
      <c r="T13" s="12">
        <f t="shared" si="3"/>
        <v>0.95</v>
      </c>
      <c r="U13" s="10">
        <f t="shared" si="4"/>
        <v>0</v>
      </c>
      <c r="V13" s="23"/>
      <c r="W13" s="10">
        <v>0</v>
      </c>
      <c r="X13" s="10">
        <f t="shared" si="5"/>
        <v>0</v>
      </c>
      <c r="Y13" s="10">
        <v>0</v>
      </c>
      <c r="Z13" s="10">
        <v>0</v>
      </c>
      <c r="AA13" s="10">
        <f t="shared" si="6"/>
        <v>0</v>
      </c>
      <c r="AB13" s="10">
        <v>0</v>
      </c>
    </row>
    <row r="14" spans="1:59">
      <c r="A14" s="40"/>
      <c r="B14" s="5" t="s">
        <v>78</v>
      </c>
      <c r="C14" s="31">
        <v>1</v>
      </c>
      <c r="D14" s="31" t="s">
        <v>54</v>
      </c>
      <c r="E14" s="31" t="s">
        <v>54</v>
      </c>
      <c r="F14" s="31" t="s">
        <v>54</v>
      </c>
      <c r="G14" s="5" t="s">
        <v>105</v>
      </c>
      <c r="H14" s="5" t="s">
        <v>79</v>
      </c>
      <c r="I14" s="5" t="s">
        <v>57</v>
      </c>
      <c r="J14" s="5"/>
      <c r="K14" s="40"/>
      <c r="L14" s="45">
        <v>1800</v>
      </c>
      <c r="M14" s="45">
        <f t="shared" si="0"/>
        <v>2124</v>
      </c>
      <c r="N14" s="10">
        <f t="shared" si="1"/>
        <v>0</v>
      </c>
      <c r="O14" s="10"/>
      <c r="P14" s="13"/>
      <c r="Q14" s="12">
        <v>0.05</v>
      </c>
      <c r="R14" s="10">
        <f t="shared" si="2"/>
        <v>0</v>
      </c>
      <c r="S14" s="22"/>
      <c r="T14" s="12">
        <f t="shared" si="3"/>
        <v>0.95</v>
      </c>
      <c r="U14" s="10">
        <f t="shared" si="4"/>
        <v>0</v>
      </c>
      <c r="V14" s="23"/>
      <c r="W14" s="10">
        <v>0</v>
      </c>
      <c r="X14" s="10">
        <f t="shared" si="5"/>
        <v>0</v>
      </c>
      <c r="Y14" s="10">
        <v>0</v>
      </c>
      <c r="Z14" s="10">
        <v>0</v>
      </c>
      <c r="AA14" s="10">
        <f t="shared" si="6"/>
        <v>0</v>
      </c>
      <c r="AB14" s="10">
        <v>0</v>
      </c>
    </row>
    <row r="15" spans="1:59">
      <c r="A15" s="40"/>
      <c r="B15" s="5" t="s">
        <v>83</v>
      </c>
      <c r="C15" s="31">
        <v>1</v>
      </c>
      <c r="D15" s="31"/>
      <c r="E15" s="31" t="s">
        <v>54</v>
      </c>
      <c r="F15" s="31" t="s">
        <v>54</v>
      </c>
      <c r="G15" s="5" t="s">
        <v>105</v>
      </c>
      <c r="H15" s="5" t="s">
        <v>56</v>
      </c>
      <c r="I15" s="5" t="s">
        <v>57</v>
      </c>
      <c r="J15" s="10"/>
      <c r="K15" s="40"/>
      <c r="L15" s="45">
        <f>2000/118*100</f>
        <v>1694.9152542372883</v>
      </c>
      <c r="M15" s="45">
        <f t="shared" si="0"/>
        <v>2000</v>
      </c>
      <c r="N15" s="10">
        <f t="shared" si="1"/>
        <v>0</v>
      </c>
      <c r="O15" s="10"/>
      <c r="P15" s="13"/>
      <c r="Q15" s="12">
        <v>0.5</v>
      </c>
      <c r="R15" s="10">
        <f>N15*50%</f>
        <v>0</v>
      </c>
      <c r="S15" s="35"/>
      <c r="T15" s="12">
        <f>1-Q15</f>
        <v>0.5</v>
      </c>
      <c r="U15" s="10">
        <f t="shared" si="4"/>
        <v>0</v>
      </c>
      <c r="V15" s="37" t="s">
        <v>62</v>
      </c>
      <c r="W15" s="10">
        <v>0</v>
      </c>
      <c r="X15" s="10">
        <f t="shared" si="5"/>
        <v>0</v>
      </c>
      <c r="Y15" s="10">
        <v>0</v>
      </c>
      <c r="Z15" s="10">
        <v>0</v>
      </c>
      <c r="AA15" s="10">
        <f>N15*Z15</f>
        <v>0</v>
      </c>
      <c r="AB15" s="10">
        <v>0</v>
      </c>
    </row>
    <row r="16" spans="1:59">
      <c r="A16" s="40"/>
      <c r="B16" s="5" t="s">
        <v>89</v>
      </c>
      <c r="C16" s="31">
        <v>1</v>
      </c>
      <c r="D16" s="31" t="s">
        <v>54</v>
      </c>
      <c r="E16" s="31" t="s">
        <v>54</v>
      </c>
      <c r="F16" s="31" t="s">
        <v>54</v>
      </c>
      <c r="G16" s="5" t="s">
        <v>105</v>
      </c>
      <c r="H16" s="5" t="s">
        <v>90</v>
      </c>
      <c r="I16" s="5" t="s">
        <v>57</v>
      </c>
      <c r="J16" s="10"/>
      <c r="K16" s="11"/>
      <c r="L16" s="45">
        <v>1016.9491525423729</v>
      </c>
      <c r="M16" s="45">
        <v>1200</v>
      </c>
      <c r="N16" s="10"/>
      <c r="O16" s="10"/>
      <c r="P16" s="13"/>
      <c r="Q16" s="12">
        <v>0.5</v>
      </c>
      <c r="R16" s="13"/>
      <c r="S16" s="35" t="s">
        <v>65</v>
      </c>
      <c r="T16" s="12">
        <v>0.5</v>
      </c>
      <c r="U16" s="10"/>
      <c r="V16" s="23" t="s">
        <v>62</v>
      </c>
      <c r="W16" s="20">
        <v>0</v>
      </c>
      <c r="X16" s="10">
        <v>0</v>
      </c>
      <c r="Y16" s="23">
        <v>0</v>
      </c>
      <c r="Z16" s="20">
        <v>0</v>
      </c>
      <c r="AA16" s="10">
        <v>0</v>
      </c>
      <c r="AB16" s="23">
        <v>0</v>
      </c>
    </row>
    <row r="17" spans="1:28">
      <c r="A17" s="40"/>
      <c r="B17" s="5" t="s">
        <v>91</v>
      </c>
      <c r="C17" s="31">
        <v>1</v>
      </c>
      <c r="D17" s="31"/>
      <c r="E17" s="31" t="s">
        <v>53</v>
      </c>
      <c r="F17" s="31" t="s">
        <v>54</v>
      </c>
      <c r="G17" s="5" t="s">
        <v>105</v>
      </c>
      <c r="H17" s="5" t="s">
        <v>56</v>
      </c>
      <c r="I17" s="5" t="s">
        <v>57</v>
      </c>
      <c r="J17" s="10"/>
      <c r="K17" s="5"/>
      <c r="L17" s="45">
        <v>2542.37</v>
      </c>
      <c r="M17" s="45">
        <v>2999.9965999999995</v>
      </c>
      <c r="N17" s="10"/>
      <c r="O17" s="10"/>
      <c r="P17" s="13"/>
      <c r="Q17" s="12">
        <v>1</v>
      </c>
      <c r="R17" s="13"/>
      <c r="S17" s="35" t="s">
        <v>65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</row>
    <row r="18" spans="1:28">
      <c r="A18" s="40"/>
      <c r="B18" s="5" t="s">
        <v>92</v>
      </c>
      <c r="C18" s="31">
        <v>1</v>
      </c>
      <c r="D18" s="31"/>
      <c r="E18" s="31" t="s">
        <v>53</v>
      </c>
      <c r="F18" s="31" t="s">
        <v>54</v>
      </c>
      <c r="G18" s="5" t="s">
        <v>105</v>
      </c>
      <c r="H18" s="5" t="s">
        <v>56</v>
      </c>
      <c r="I18" s="5" t="s">
        <v>57</v>
      </c>
      <c r="J18" s="10"/>
      <c r="K18" s="5"/>
      <c r="L18" s="45">
        <v>2118.6440677966102</v>
      </c>
      <c r="M18" s="45">
        <v>2500</v>
      </c>
      <c r="N18" s="10"/>
      <c r="O18" s="10"/>
      <c r="P18" s="13"/>
      <c r="Q18" s="12">
        <v>1</v>
      </c>
      <c r="R18" s="13"/>
      <c r="S18" s="35" t="s">
        <v>65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</row>
    <row r="19" spans="1:28">
      <c r="A19" s="40"/>
      <c r="B19" s="5" t="s">
        <v>93</v>
      </c>
      <c r="C19" s="31">
        <v>1</v>
      </c>
      <c r="D19" s="31"/>
      <c r="E19" s="31" t="s">
        <v>53</v>
      </c>
      <c r="F19" s="31" t="s">
        <v>54</v>
      </c>
      <c r="G19" s="5" t="s">
        <v>105</v>
      </c>
      <c r="H19" s="5" t="s">
        <v>56</v>
      </c>
      <c r="I19" s="5" t="s">
        <v>57</v>
      </c>
      <c r="J19" s="10"/>
      <c r="K19" s="5"/>
      <c r="L19" s="45">
        <v>2000</v>
      </c>
      <c r="M19" s="45">
        <v>2360</v>
      </c>
      <c r="N19" s="10"/>
      <c r="O19" s="10"/>
      <c r="P19" s="13"/>
      <c r="Q19" s="12">
        <v>1</v>
      </c>
      <c r="R19" s="13"/>
      <c r="S19" s="35" t="s">
        <v>65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</row>
    <row r="20" spans="1:28">
      <c r="A20" s="40"/>
      <c r="B20" s="40" t="s">
        <v>102</v>
      </c>
      <c r="C20" s="31">
        <v>1</v>
      </c>
      <c r="D20" s="31" t="s">
        <v>54</v>
      </c>
      <c r="E20" s="31" t="s">
        <v>54</v>
      </c>
      <c r="F20" s="31" t="s">
        <v>54</v>
      </c>
      <c r="G20" s="5" t="s">
        <v>105</v>
      </c>
      <c r="H20" s="5" t="s">
        <v>103</v>
      </c>
      <c r="I20" s="5" t="s">
        <v>104</v>
      </c>
      <c r="J20" s="5"/>
      <c r="K20" s="5"/>
      <c r="L20" s="44">
        <v>1016.95</v>
      </c>
      <c r="M20" s="44">
        <v>1200</v>
      </c>
      <c r="N20" s="10"/>
      <c r="O20" s="5"/>
      <c r="P20" s="10"/>
      <c r="Q20" s="12">
        <v>1</v>
      </c>
      <c r="R20" s="13"/>
      <c r="S20" s="36"/>
      <c r="T20" s="34"/>
      <c r="U20" s="34"/>
      <c r="V20" s="34"/>
      <c r="W20" s="34"/>
      <c r="X20" s="34"/>
      <c r="Y20" s="34"/>
      <c r="Z20" s="34"/>
      <c r="AA20" s="34"/>
      <c r="AB20" s="34"/>
    </row>
    <row r="21" spans="1:28">
      <c r="A21" s="39"/>
      <c r="B21" s="5" t="s">
        <v>138</v>
      </c>
      <c r="C21" s="31">
        <v>1</v>
      </c>
      <c r="D21" s="31" t="s">
        <v>54</v>
      </c>
      <c r="E21" s="31" t="s">
        <v>54</v>
      </c>
      <c r="F21" s="31"/>
      <c r="G21" s="5" t="s">
        <v>105</v>
      </c>
      <c r="H21" s="5" t="s">
        <v>135</v>
      </c>
      <c r="I21" s="5" t="s">
        <v>57</v>
      </c>
      <c r="J21" s="5"/>
      <c r="K21" s="5"/>
      <c r="L21" s="5">
        <v>2288.13</v>
      </c>
      <c r="M21" s="5">
        <v>2700</v>
      </c>
      <c r="N21" s="5"/>
      <c r="O21" s="5"/>
      <c r="P21" s="10"/>
      <c r="Q21" s="12" t="s">
        <v>137</v>
      </c>
      <c r="R21" s="13"/>
      <c r="S21" s="22"/>
      <c r="T21" s="40"/>
      <c r="U21" s="40"/>
      <c r="V21" s="40"/>
      <c r="W21" s="40"/>
      <c r="X21" s="40"/>
      <c r="Y21" s="40"/>
      <c r="Z21" s="40"/>
      <c r="AA21" s="40"/>
      <c r="AB21" s="40"/>
    </row>
    <row r="22" spans="1:28">
      <c r="A22" s="40"/>
      <c r="B22" s="40" t="s">
        <v>206</v>
      </c>
      <c r="C22" s="31">
        <v>1</v>
      </c>
      <c r="D22" s="31" t="s">
        <v>54</v>
      </c>
      <c r="E22" s="31" t="s">
        <v>54</v>
      </c>
      <c r="F22" s="31" t="s">
        <v>98</v>
      </c>
      <c r="G22" s="5" t="s">
        <v>208</v>
      </c>
      <c r="H22" s="5" t="s">
        <v>56</v>
      </c>
      <c r="I22" s="5" t="s">
        <v>57</v>
      </c>
      <c r="J22" s="5"/>
      <c r="K22" s="5"/>
      <c r="L22" s="9">
        <f>M22*100/118</f>
        <v>1694.9152542372881</v>
      </c>
      <c r="M22" s="5">
        <v>2000</v>
      </c>
      <c r="N22" s="10">
        <f>IFERROR(K22*M22,0)</f>
        <v>0</v>
      </c>
      <c r="O22" s="5"/>
      <c r="P22" s="5"/>
      <c r="Q22" s="12">
        <v>0.5</v>
      </c>
      <c r="R22" s="10"/>
      <c r="S22" s="112" t="s">
        <v>69</v>
      </c>
      <c r="T22" s="79">
        <v>0.5</v>
      </c>
      <c r="U22" s="10"/>
      <c r="V22" s="112" t="s">
        <v>62</v>
      </c>
      <c r="W22" s="79"/>
      <c r="X22" s="10"/>
      <c r="Y22" s="80"/>
      <c r="Z22" s="79"/>
      <c r="AA22" s="10"/>
      <c r="AB22" s="80"/>
    </row>
    <row r="23" spans="1:28">
      <c r="A23" s="40"/>
      <c r="B23" s="40" t="s">
        <v>228</v>
      </c>
      <c r="C23" s="31">
        <v>1</v>
      </c>
      <c r="D23" s="31" t="s">
        <v>54</v>
      </c>
      <c r="E23" s="31" t="s">
        <v>54</v>
      </c>
      <c r="F23" s="31" t="s">
        <v>98</v>
      </c>
      <c r="G23" s="5" t="s">
        <v>207</v>
      </c>
      <c r="H23" s="5" t="s">
        <v>56</v>
      </c>
      <c r="I23" s="5" t="s">
        <v>57</v>
      </c>
      <c r="J23" s="5"/>
      <c r="K23" s="5"/>
      <c r="L23" s="9">
        <f>M23*100/118</f>
        <v>2000</v>
      </c>
      <c r="M23" s="5">
        <v>2360</v>
      </c>
      <c r="N23" s="10">
        <f>IFERROR(K23*M23,0)</f>
        <v>0</v>
      </c>
      <c r="O23" s="5"/>
      <c r="P23" s="5"/>
      <c r="Q23" s="12">
        <v>0.5</v>
      </c>
      <c r="R23" s="10"/>
      <c r="S23" s="112" t="s">
        <v>69</v>
      </c>
      <c r="T23" s="79">
        <v>0.5</v>
      </c>
      <c r="U23" s="10"/>
      <c r="V23" s="112" t="s">
        <v>63</v>
      </c>
      <c r="W23" s="79"/>
      <c r="X23" s="10"/>
      <c r="Y23" s="80"/>
      <c r="Z23" s="79"/>
      <c r="AA23" s="10"/>
      <c r="AB23" s="80"/>
    </row>
  </sheetData>
  <mergeCells count="7">
    <mergeCell ref="O11:O13"/>
    <mergeCell ref="AR3:AR4"/>
    <mergeCell ref="AD2:AO2"/>
    <mergeCell ref="Q3:S3"/>
    <mergeCell ref="T3:V3"/>
    <mergeCell ref="W3:Y3"/>
    <mergeCell ref="Z3:AB3"/>
  </mergeCells>
  <conditionalFormatting sqref="B5">
    <cfRule type="duplicateValues" dxfId="8" priority="9"/>
  </conditionalFormatting>
  <conditionalFormatting sqref="B6">
    <cfRule type="duplicateValues" dxfId="7" priority="8"/>
  </conditionalFormatting>
  <conditionalFormatting sqref="B7">
    <cfRule type="duplicateValues" dxfId="6" priority="7"/>
  </conditionalFormatting>
  <conditionalFormatting sqref="B8">
    <cfRule type="duplicateValues" dxfId="5" priority="6"/>
  </conditionalFormatting>
  <conditionalFormatting sqref="B9">
    <cfRule type="duplicateValues" dxfId="4" priority="5"/>
  </conditionalFormatting>
  <conditionalFormatting sqref="B10">
    <cfRule type="duplicateValues" dxfId="3" priority="4"/>
  </conditionalFormatting>
  <conditionalFormatting sqref="B11:B14">
    <cfRule type="duplicateValues" dxfId="2" priority="3"/>
  </conditionalFormatting>
  <conditionalFormatting sqref="B15">
    <cfRule type="duplicateValues" dxfId="1" priority="2"/>
  </conditionalFormatting>
  <conditionalFormatting sqref="B16:B1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STEAM 2026-27PD </vt:lpstr>
      <vt:lpstr>YP_2026-27</vt:lpstr>
      <vt:lpstr>Billing details _PD</vt:lpstr>
      <vt:lpstr>2025-26_Proforma Invoice_PD</vt:lpstr>
      <vt:lpstr>Sheet2</vt:lpstr>
      <vt:lpstr>Sheet1</vt:lpstr>
      <vt:lpstr>2026-27-PD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Pranav Bhardwaj</dc:creator>
  <cp:keywords/>
  <dc:description/>
  <cp:lastModifiedBy>Pranav Bhardwaj/GSL</cp:lastModifiedBy>
  <cp:revision/>
  <dcterms:created xsi:type="dcterms:W3CDTF">2015-06-05T18:17:00Z</dcterms:created>
  <dcterms:modified xsi:type="dcterms:W3CDTF">2026-05-11T11:58:19Z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90930041F6C64AAD9DBF4DFD45871437_13</vt:lpwstr>
  </property>
  <property fmtid="{D5CDD505-2E9C-101B-9397-08002B2CF9AE}" pid="3" name="KSOProductBuildVer">
    <vt:lpwstr>1033-12.2.0.20795</vt:lpwstr>
  </property>
</Properties>
</file>